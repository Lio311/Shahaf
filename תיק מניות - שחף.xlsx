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mailtauacil-my.sharepoint.com/personal/liortsafrir_mail_tau_ac_il/Documents/Desktop/"/>
    </mc:Choice>
  </mc:AlternateContent>
  <xr:revisionPtr revIDLastSave="1280" documentId="13_ncr:1_{9F5F5684-FACD-45AB-A89B-D14F63A74975}" xr6:coauthVersionLast="47" xr6:coauthVersionMax="47" xr10:uidLastSave="{D0E50C86-C484-439A-A1B6-B9C0055D718D}"/>
  <bookViews>
    <workbookView xWindow="-108" yWindow="-108" windowWidth="23256" windowHeight="12456" xr2:uid="{4BA4607F-9C70-44F5-8607-E92B471B476B}"/>
  </bookViews>
  <sheets>
    <sheet name="גיליון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 l="1"/>
  <c r="L32" i="1" l="1" a="1"/>
  <c r="L32" i="1" s="1"/>
  <c r="J32" i="1" a="1"/>
  <c r="J32" i="1" s="1"/>
  <c r="J29" i="1" a="1"/>
  <c r="J29" i="1" s="1"/>
  <c r="L29" i="1" a="1"/>
  <c r="L29" i="1" s="1"/>
  <c r="L28" i="1" a="1"/>
  <c r="L28" i="1" s="1"/>
  <c r="L27" i="1" a="1"/>
  <c r="L27" i="1" s="1"/>
  <c r="L22" i="1" a="1"/>
  <c r="L22" i="1" s="1"/>
  <c r="L21" i="1" a="1"/>
  <c r="L21" i="1" s="1"/>
  <c r="L20" i="1" a="1"/>
  <c r="L20" i="1" s="1"/>
  <c r="L15" i="1" a="1"/>
  <c r="L15" i="1" s="1"/>
  <c r="I15" i="1" s="1"/>
  <c r="L30" i="1" a="1"/>
  <c r="L30" i="1" s="1"/>
  <c r="L31" i="1" a="1"/>
  <c r="L31" i="1" s="1"/>
  <c r="L33" i="1" a="1"/>
  <c r="L33" i="1" s="1"/>
  <c r="L34" i="1" a="1"/>
  <c r="L34" i="1" s="1"/>
  <c r="J34" i="1" a="1"/>
  <c r="J34" i="1" s="1"/>
  <c r="J33" i="1" a="1"/>
  <c r="J33" i="1" s="1"/>
  <c r="J30" i="1" a="1"/>
  <c r="J30" i="1" s="1"/>
  <c r="J31" i="1" a="1"/>
  <c r="J31" i="1" s="1"/>
  <c r="J10" i="1" a="1"/>
  <c r="J10" i="1" s="1"/>
  <c r="L2" i="1" a="1"/>
  <c r="L2" i="1" s="1"/>
  <c r="M2" i="1" a="1"/>
  <c r="M2" i="1" s="1"/>
  <c r="T6" i="1" s="1"/>
  <c r="T5" i="1" s="1"/>
  <c r="Q5" i="1" s="1"/>
  <c r="P2" i="1" a="1"/>
  <c r="P2" i="1" s="1"/>
  <c r="Q2" i="1" a="1"/>
  <c r="Q2" i="1" s="1"/>
  <c r="J40" i="1" a="1"/>
  <c r="J40" i="1" s="1"/>
  <c r="L40" i="1" a="1"/>
  <c r="L40" i="1" s="1"/>
  <c r="J39" i="1" a="1"/>
  <c r="J39" i="1" s="1"/>
  <c r="L39" i="1" a="1"/>
  <c r="L39" i="1" s="1"/>
  <c r="J27" i="1" a="1"/>
  <c r="J27" i="1" s="1"/>
  <c r="J15" i="1" a="1"/>
  <c r="J15" i="1" s="1"/>
  <c r="J22" i="1" a="1"/>
  <c r="J22" i="1" s="1"/>
  <c r="J20" i="1" a="1"/>
  <c r="J20" i="1" s="1"/>
  <c r="J21" i="1" a="1"/>
  <c r="J21" i="1" s="1"/>
  <c r="J28" i="1" a="1"/>
  <c r="J28" i="1" s="1"/>
  <c r="I33" i="1" l="1"/>
  <c r="I28" i="1"/>
  <c r="H31" i="1"/>
  <c r="I31" i="1"/>
  <c r="I29" i="1"/>
  <c r="H39" i="1"/>
  <c r="I39" i="1"/>
  <c r="I30" i="1"/>
  <c r="I40" i="1"/>
  <c r="I20" i="1"/>
  <c r="I32" i="1"/>
  <c r="M32" i="1"/>
  <c r="M30" i="1"/>
  <c r="M27" i="1"/>
  <c r="M10" i="1"/>
  <c r="M20" i="1"/>
  <c r="M40" i="1"/>
  <c r="M33" i="1"/>
  <c r="M31" i="1"/>
  <c r="M34" i="1"/>
  <c r="M39" i="1"/>
  <c r="M21" i="1"/>
  <c r="M15" i="1"/>
  <c r="M29" i="1"/>
  <c r="M28" i="1"/>
  <c r="M22" i="1"/>
  <c r="H21" i="1"/>
  <c r="I21" i="1"/>
  <c r="I22" i="1"/>
  <c r="H34" i="1"/>
  <c r="I34" i="1"/>
  <c r="I27" i="1"/>
  <c r="Q6" i="1"/>
  <c r="P6" i="1"/>
  <c r="P31" i="1"/>
  <c r="K31" i="1" s="1"/>
  <c r="H27" i="1"/>
  <c r="P27" i="1"/>
  <c r="K27" i="1" s="1"/>
  <c r="P28" i="1"/>
  <c r="H28" i="1"/>
  <c r="P15" i="1"/>
  <c r="H15" i="1"/>
  <c r="H29" i="1"/>
  <c r="P29" i="1"/>
  <c r="P20" i="1"/>
  <c r="K20" i="1" s="1"/>
  <c r="H20" i="1"/>
  <c r="L10" i="1" a="1"/>
  <c r="L10" i="1" s="1"/>
  <c r="I10" i="1" s="1"/>
  <c r="S5" i="1" s="1"/>
  <c r="P30" i="1"/>
  <c r="H30" i="1"/>
  <c r="P32" i="1"/>
  <c r="K32" i="1" s="1"/>
  <c r="H32" i="1"/>
  <c r="H22" i="1"/>
  <c r="P22" i="1"/>
  <c r="H40" i="1"/>
  <c r="P40" i="1"/>
  <c r="P33" i="1"/>
  <c r="H33" i="1"/>
  <c r="P34" i="1"/>
  <c r="P21" i="1"/>
  <c r="K21" i="1" s="1"/>
  <c r="P39" i="1"/>
  <c r="C10" i="1" l="1"/>
  <c r="C16" i="1"/>
  <c r="K22" i="1"/>
  <c r="C8" i="1"/>
  <c r="K40" i="1"/>
  <c r="C15" i="1"/>
  <c r="C14" i="1"/>
  <c r="K29" i="1"/>
  <c r="K33" i="1"/>
  <c r="K30" i="1"/>
  <c r="C7" i="1"/>
  <c r="K28" i="1"/>
  <c r="H10" i="1"/>
  <c r="L5" i="1"/>
  <c r="P10" i="1"/>
  <c r="C13" i="1"/>
  <c r="C18" i="1"/>
  <c r="C11" i="1"/>
  <c r="K34" i="1"/>
  <c r="K39" i="1"/>
  <c r="C9" i="1"/>
  <c r="C17" i="1"/>
  <c r="K15" i="1"/>
  <c r="C5" i="1"/>
  <c r="C12" i="1" l="1"/>
  <c r="C6" i="1"/>
  <c r="R5" i="1"/>
  <c r="S6" i="1"/>
  <c r="C4" i="1"/>
  <c r="K10" i="1"/>
  <c r="C19"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5">
    <bk>
      <extLst>
        <ext uri="{3e2802c4-a4d2-4d8b-9148-e3be6c30e623}">
          <xlrd:rvb i="2"/>
        </ext>
      </extLst>
    </bk>
    <bk>
      <extLst>
        <ext uri="{3e2802c4-a4d2-4d8b-9148-e3be6c30e623}">
          <xlrd:rvb i="4"/>
        </ext>
      </extLst>
    </bk>
    <bk>
      <extLst>
        <ext uri="{3e2802c4-a4d2-4d8b-9148-e3be6c30e623}">
          <xlrd:rvb i="7"/>
        </ext>
      </extLst>
    </bk>
    <bk>
      <extLst>
        <ext uri="{3e2802c4-a4d2-4d8b-9148-e3be6c30e623}">
          <xlrd:rvb i="10"/>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5"/>
        </ext>
      </extLst>
    </bk>
    <bk>
      <extLst>
        <ext uri="{3e2802c4-a4d2-4d8b-9148-e3be6c30e623}">
          <xlrd:rvb i="38"/>
        </ext>
      </extLst>
    </bk>
    <bk>
      <extLst>
        <ext uri="{3e2802c4-a4d2-4d8b-9148-e3be6c30e623}">
          <xlrd:rvb i="40"/>
        </ext>
      </extLst>
    </bk>
    <bk>
      <extLst>
        <ext uri="{3e2802c4-a4d2-4d8b-9148-e3be6c30e623}">
          <xlrd:rvb i="43"/>
        </ext>
      </extLst>
    </bk>
    <bk>
      <extLst>
        <ext uri="{3e2802c4-a4d2-4d8b-9148-e3be6c30e623}">
          <xlrd:rvb i="46"/>
        </ext>
      </extLst>
    </bk>
    <bk>
      <extLst>
        <ext uri="{3e2802c4-a4d2-4d8b-9148-e3be6c30e623}">
          <xlrd:rvb i="49"/>
        </ext>
      </extLst>
    </bk>
    <bk>
      <extLst>
        <ext uri="{3e2802c4-a4d2-4d8b-9148-e3be6c30e623}">
          <xlrd:rvb i="52"/>
        </ext>
      </extLst>
    </bk>
    <bk>
      <extLst>
        <ext uri="{3e2802c4-a4d2-4d8b-9148-e3be6c30e623}">
          <xlrd:rvb i="55"/>
        </ext>
      </extLst>
    </bk>
    <bk>
      <extLst>
        <ext uri="{3e2802c4-a4d2-4d8b-9148-e3be6c30e623}">
          <xlrd:rvb i="58"/>
        </ext>
      </extLst>
    </bk>
    <bk>
      <extLst>
        <ext uri="{3e2802c4-a4d2-4d8b-9148-e3be6c30e623}">
          <xlrd:rvb i="61"/>
        </ext>
      </extLst>
    </bk>
    <bk>
      <extLst>
        <ext uri="{3e2802c4-a4d2-4d8b-9148-e3be6c30e623}">
          <xlrd:rvb i="64"/>
        </ext>
      </extLst>
    </bk>
    <bk>
      <extLst>
        <ext uri="{3e2802c4-a4d2-4d8b-9148-e3be6c30e623}">
          <xlrd:rvb i="67"/>
        </ext>
      </extLst>
    </bk>
    <bk>
      <extLst>
        <ext uri="{3e2802c4-a4d2-4d8b-9148-e3be6c30e623}">
          <xlrd:rvb i="70"/>
        </ext>
      </extLst>
    </bk>
  </futureMetadata>
  <cellMetadata count="1">
    <bk>
      <rc t="1" v="0"/>
    </bk>
  </cellMetadata>
  <valueMetadata count="2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valueMetadata>
</metadata>
</file>

<file path=xl/sharedStrings.xml><?xml version="1.0" encoding="utf-8"?>
<sst xmlns="http://schemas.openxmlformats.org/spreadsheetml/2006/main" count="128" uniqueCount="57">
  <si>
    <t>טיקר</t>
  </si>
  <si>
    <t>כמות מניות</t>
  </si>
  <si>
    <t>מחיר עלות</t>
  </si>
  <si>
    <t>סה"כ אחזקה</t>
  </si>
  <si>
    <t>אחוז מסה"כ התיק</t>
  </si>
  <si>
    <t>#</t>
  </si>
  <si>
    <t>מחיר זמן אמת</t>
  </si>
  <si>
    <t>שינוי יומי</t>
  </si>
  <si>
    <t>NVDA</t>
  </si>
  <si>
    <t>AMD</t>
  </si>
  <si>
    <t>הימורים</t>
  </si>
  <si>
    <t>מדד הפחד</t>
  </si>
  <si>
    <t>שער הדולר</t>
  </si>
  <si>
    <t>תיק מסחר - ליאור</t>
  </si>
  <si>
    <t>השקעה</t>
  </si>
  <si>
    <t>מזומן בתיק</t>
  </si>
  <si>
    <t>כסף מושקע</t>
  </si>
  <si>
    <t>רווח נוכחי</t>
  </si>
  <si>
    <t>ABNB</t>
  </si>
  <si>
    <t>PLTR</t>
  </si>
  <si>
    <t>תשואה באחוזים</t>
  </si>
  <si>
    <t>B/H/S</t>
  </si>
  <si>
    <t>חברות גדולות</t>
  </si>
  <si>
    <t>שבע הגדולות</t>
  </si>
  <si>
    <t>קריפטו</t>
  </si>
  <si>
    <t>מדדים</t>
  </si>
  <si>
    <t>סה"כ ערך תיק</t>
  </si>
  <si>
    <t>שינוי יומי(%)</t>
  </si>
  <si>
    <t>שינוי מצטבר(%)</t>
  </si>
  <si>
    <t>שינוי מצטבר</t>
  </si>
  <si>
    <t>הפרש מימושים</t>
  </si>
  <si>
    <t>סקטור</t>
  </si>
  <si>
    <t>קמעונאות</t>
  </si>
  <si>
    <t>טכנולוגיה</t>
  </si>
  <si>
    <t>שירותי תקשורת</t>
  </si>
  <si>
    <t>פיננסים</t>
  </si>
  <si>
    <t>שבבים</t>
  </si>
  <si>
    <t>חומרה</t>
  </si>
  <si>
    <t>בריאות</t>
  </si>
  <si>
    <t>תרופות</t>
  </si>
  <si>
    <t>טכנולוגיות קוונטיות</t>
  </si>
  <si>
    <t>נשק</t>
  </si>
  <si>
    <t>דיבידנדים</t>
  </si>
  <si>
    <t>תחבורה</t>
  </si>
  <si>
    <t>תשתיות מידע</t>
  </si>
  <si>
    <t>אחוז מהתיק</t>
  </si>
  <si>
    <t>סה"כ</t>
  </si>
  <si>
    <t>PATH</t>
  </si>
  <si>
    <t>MNDY</t>
  </si>
  <si>
    <t>GLXY</t>
  </si>
  <si>
    <t>UNH</t>
  </si>
  <si>
    <t>APPL</t>
  </si>
  <si>
    <t>GOOGL</t>
  </si>
  <si>
    <t>SPY</t>
  </si>
  <si>
    <t>ASML</t>
  </si>
  <si>
    <t>ETH</t>
  </si>
  <si>
    <t>SLI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</si>
</sst>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quot;₪&quot;\ * #,##0_ ;_ &quot;₪&quot;\ * \-#,##0_ ;_ &quot;₪&quot;\ * &quot;-&quot;_ ;_ @_ "/>
    <numFmt numFmtId="165" formatCode="_ &quot;₪&quot;\ * #,##0.00_ ;_ &quot;₪&quot;\ * \-#,##0.00_ ;_ &quot;₪&quot;\ * &quot;-&quot;??_ ;_ @_ "/>
    <numFmt numFmtId="166" formatCode="_([$$-409]* #,##0.00_);_([$$-409]* \(#,##0.00\);_([$$-409]* &quot;-&quot;??_);_(@_)"/>
    <numFmt numFmtId="167" formatCode="[$$-409]#,##0.00"/>
    <numFmt numFmtId="168" formatCode="&quot;₪&quot;\ #,##0.00"/>
    <numFmt numFmtId="169" formatCode="_-* #,##0.00\ [$CHF-100C]_-;\-* #,##0.00\ [$CHF-100C]_-;_-* &quot;-&quot;??\ [$CHF-100C]_-;_-@_-"/>
    <numFmt numFmtId="170" formatCode="_ [$₪-40D]\ * #,##0.00_ ;_ [$₪-40D]\ * \-#,##0.00_ ;_ [$₪-40D]\ * &quot;-&quot;??_ ;_ @_ "/>
    <numFmt numFmtId="171" formatCode="_-[$$-1009]* #,##0.00_-;\-[$$-1009]* #,##0.00_-;_-[$$-1009]* &quot;-&quot;??_-;_-@_-"/>
  </numFmts>
  <fonts count="7" x14ac:knownFonts="1">
    <font>
      <sz val="11"/>
      <color theme="1"/>
      <name val="Aptos Narrow"/>
      <family val="2"/>
      <charset val="177"/>
      <scheme val="minor"/>
    </font>
    <font>
      <sz val="11"/>
      <color theme="1"/>
      <name val="Open Sans Hebrew"/>
    </font>
    <font>
      <sz val="11"/>
      <color theme="0"/>
      <name val="Open Sans Hebrew"/>
    </font>
    <font>
      <b/>
      <sz val="11"/>
      <color theme="0"/>
      <name val="Open Sans Hebrew"/>
    </font>
    <font>
      <b/>
      <sz val="11"/>
      <color theme="1"/>
      <name val="Open Sans Hebrew"/>
    </font>
    <font>
      <b/>
      <sz val="18"/>
      <color theme="1"/>
      <name val="Open Sans Hebrew"/>
    </font>
    <font>
      <b/>
      <sz val="10"/>
      <color theme="1"/>
      <name val="Open Sans Hebrew"/>
    </font>
  </fonts>
  <fills count="6">
    <fill>
      <patternFill patternType="none"/>
    </fill>
    <fill>
      <patternFill patternType="gray125"/>
    </fill>
    <fill>
      <patternFill patternType="solid">
        <fgColor theme="1"/>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98">
    <xf numFmtId="0" fontId="0" fillId="0" borderId="0" xfId="0"/>
    <xf numFmtId="0" fontId="2" fillId="2" borderId="1" xfId="0" applyFont="1" applyFill="1" applyBorder="1" applyAlignment="1">
      <alignment horizontal="center"/>
    </xf>
    <xf numFmtId="10" fontId="1" fillId="3" borderId="1" xfId="0" applyNumberFormat="1" applyFont="1" applyFill="1" applyBorder="1" applyAlignment="1">
      <alignment horizontal="center"/>
    </xf>
    <xf numFmtId="10" fontId="1" fillId="4" borderId="1" xfId="0" applyNumberFormat="1" applyFont="1" applyFill="1" applyBorder="1" applyAlignment="1">
      <alignment horizontal="center"/>
    </xf>
    <xf numFmtId="10" fontId="1" fillId="0" borderId="4" xfId="0" applyNumberFormat="1" applyFont="1" applyBorder="1" applyAlignment="1">
      <alignment horizontal="center"/>
    </xf>
    <xf numFmtId="165" fontId="1" fillId="3" borderId="1" xfId="0" applyNumberFormat="1" applyFont="1" applyFill="1" applyBorder="1" applyAlignment="1">
      <alignment horizontal="center"/>
    </xf>
    <xf numFmtId="166" fontId="1" fillId="0" borderId="5" xfId="0" applyNumberFormat="1" applyFont="1" applyBorder="1" applyAlignment="1">
      <alignment horizontal="center"/>
    </xf>
    <xf numFmtId="0" fontId="3" fillId="2" borderId="12" xfId="0" applyFont="1" applyFill="1" applyBorder="1" applyAlignment="1">
      <alignment horizontal="center"/>
    </xf>
    <xf numFmtId="10" fontId="4" fillId="0" borderId="4" xfId="0" applyNumberFormat="1" applyFont="1" applyBorder="1" applyAlignment="1">
      <alignment horizontal="center"/>
    </xf>
    <xf numFmtId="165" fontId="4" fillId="5" borderId="1" xfId="0" applyNumberFormat="1" applyFont="1" applyFill="1" applyBorder="1" applyAlignment="1">
      <alignment horizontal="center"/>
    </xf>
    <xf numFmtId="0" fontId="3" fillId="2" borderId="2" xfId="0" applyFont="1" applyFill="1" applyBorder="1" applyAlignment="1">
      <alignment horizontal="center"/>
    </xf>
    <xf numFmtId="165" fontId="4" fillId="5" borderId="13" xfId="0" applyNumberFormat="1" applyFont="1" applyFill="1" applyBorder="1" applyAlignment="1">
      <alignment horizontal="center"/>
    </xf>
    <xf numFmtId="167" fontId="4" fillId="5" borderId="8" xfId="0" applyNumberFormat="1" applyFont="1" applyFill="1" applyBorder="1" applyAlignment="1">
      <alignment horizontal="center"/>
    </xf>
    <xf numFmtId="167" fontId="4" fillId="5" borderId="9" xfId="0" applyNumberFormat="1" applyFont="1" applyFill="1" applyBorder="1" applyAlignment="1">
      <alignment horizontal="center"/>
    </xf>
    <xf numFmtId="0" fontId="0" fillId="0" borderId="0" xfId="0" applyAlignment="1">
      <alignment horizontal="center"/>
    </xf>
    <xf numFmtId="170" fontId="4" fillId="0" borderId="5" xfId="0" applyNumberFormat="1" applyFont="1" applyBorder="1" applyAlignment="1">
      <alignment horizontal="center"/>
    </xf>
    <xf numFmtId="9" fontId="1" fillId="0" borderId="13" xfId="0" applyNumberFormat="1" applyFont="1" applyBorder="1" applyAlignment="1">
      <alignment horizontal="center"/>
    </xf>
    <xf numFmtId="0" fontId="3" fillId="2" borderId="14" xfId="0" applyFont="1" applyFill="1" applyBorder="1" applyAlignment="1">
      <alignment horizontal="center"/>
    </xf>
    <xf numFmtId="9" fontId="1" fillId="0" borderId="8" xfId="0" applyNumberFormat="1" applyFont="1" applyBorder="1" applyAlignment="1">
      <alignment horizontal="center"/>
    </xf>
    <xf numFmtId="10" fontId="1" fillId="4" borderId="9" xfId="0" applyNumberFormat="1" applyFont="1" applyFill="1" applyBorder="1" applyAlignment="1">
      <alignment horizontal="center"/>
    </xf>
    <xf numFmtId="0" fontId="3" fillId="2" borderId="10" xfId="0" applyFont="1" applyFill="1" applyBorder="1" applyAlignment="1">
      <alignment horizontal="center"/>
    </xf>
    <xf numFmtId="10" fontId="1" fillId="3" borderId="9" xfId="0" applyNumberFormat="1" applyFont="1" applyFill="1" applyBorder="1" applyAlignment="1">
      <alignment horizontal="center"/>
    </xf>
    <xf numFmtId="167" fontId="4" fillId="5" borderId="0" xfId="0" applyNumberFormat="1" applyFont="1" applyFill="1" applyAlignment="1">
      <alignment horizontal="center"/>
    </xf>
    <xf numFmtId="9" fontId="4" fillId="5" borderId="0" xfId="0" applyNumberFormat="1" applyFont="1" applyFill="1" applyAlignment="1">
      <alignment horizontal="center"/>
    </xf>
    <xf numFmtId="167" fontId="1" fillId="5" borderId="0" xfId="0" applyNumberFormat="1" applyFont="1" applyFill="1" applyAlignment="1">
      <alignment horizontal="center"/>
    </xf>
    <xf numFmtId="0" fontId="2" fillId="2" borderId="13" xfId="0" applyFont="1" applyFill="1" applyBorder="1" applyAlignment="1">
      <alignment horizontal="center"/>
    </xf>
    <xf numFmtId="0" fontId="0" fillId="5" borderId="0" xfId="0" applyFill="1" applyAlignment="1">
      <alignment horizontal="center"/>
    </xf>
    <xf numFmtId="0" fontId="0" fillId="5" borderId="0" xfId="0" applyFill="1"/>
    <xf numFmtId="10" fontId="1" fillId="5" borderId="0" xfId="0" applyNumberFormat="1" applyFont="1" applyFill="1" applyAlignment="1">
      <alignment horizontal="center"/>
    </xf>
    <xf numFmtId="166" fontId="1" fillId="5" borderId="0" xfId="0" applyNumberFormat="1" applyFont="1" applyFill="1" applyAlignment="1">
      <alignment horizontal="center"/>
    </xf>
    <xf numFmtId="0" fontId="1" fillId="5" borderId="0" xfId="0" applyFont="1" applyFill="1" applyAlignment="1">
      <alignment horizontal="center"/>
    </xf>
    <xf numFmtId="0" fontId="2" fillId="5" borderId="0" xfId="0" applyFont="1" applyFill="1"/>
    <xf numFmtId="0" fontId="2" fillId="5" borderId="0" xfId="0" applyFont="1" applyFill="1" applyAlignment="1">
      <alignment horizontal="center"/>
    </xf>
    <xf numFmtId="164" fontId="2" fillId="5" borderId="0" xfId="0" applyNumberFormat="1" applyFont="1" applyFill="1" applyAlignment="1">
      <alignment horizontal="center"/>
    </xf>
    <xf numFmtId="169" fontId="2" fillId="5" borderId="0" xfId="0" applyNumberFormat="1" applyFont="1" applyFill="1" applyAlignment="1">
      <alignment horizontal="center"/>
    </xf>
    <xf numFmtId="165" fontId="1" fillId="3" borderId="9" xfId="0" applyNumberFormat="1" applyFont="1" applyFill="1" applyBorder="1" applyAlignment="1">
      <alignment horizontal="center"/>
    </xf>
    <xf numFmtId="165" fontId="1" fillId="4" borderId="1" xfId="0" applyNumberFormat="1" applyFont="1" applyFill="1" applyBorder="1" applyAlignment="1">
      <alignment horizontal="center"/>
    </xf>
    <xf numFmtId="165" fontId="1" fillId="4" borderId="9" xfId="0" applyNumberFormat="1" applyFont="1" applyFill="1" applyBorder="1" applyAlignment="1">
      <alignment horizontal="center"/>
    </xf>
    <xf numFmtId="166" fontId="0" fillId="0" borderId="0" xfId="0" applyNumberFormat="1"/>
    <xf numFmtId="166" fontId="4" fillId="5" borderId="8" xfId="0" applyNumberFormat="1" applyFont="1" applyFill="1" applyBorder="1" applyAlignment="1">
      <alignment horizontal="center"/>
    </xf>
    <xf numFmtId="9" fontId="4" fillId="5" borderId="13" xfId="0" applyNumberFormat="1" applyFont="1" applyFill="1" applyBorder="1" applyAlignment="1">
      <alignment horizontal="center"/>
    </xf>
    <xf numFmtId="9" fontId="4" fillId="5" borderId="8" xfId="0" applyNumberFormat="1" applyFont="1" applyFill="1" applyBorder="1" applyAlignment="1">
      <alignment horizontal="center"/>
    </xf>
    <xf numFmtId="0" fontId="3" fillId="2" borderId="23" xfId="0" applyFont="1" applyFill="1" applyBorder="1" applyAlignment="1">
      <alignment horizontal="center"/>
    </xf>
    <xf numFmtId="0" fontId="3" fillId="2" borderId="24" xfId="0" applyFont="1" applyFill="1" applyBorder="1" applyAlignment="1">
      <alignment horizontal="center"/>
    </xf>
    <xf numFmtId="9" fontId="6" fillId="5" borderId="14" xfId="0" applyNumberFormat="1" applyFont="1" applyFill="1" applyBorder="1" applyAlignment="1">
      <alignment horizontal="center"/>
    </xf>
    <xf numFmtId="9" fontId="6" fillId="5" borderId="10" xfId="0" applyNumberFormat="1" applyFont="1" applyFill="1" applyBorder="1" applyAlignment="1">
      <alignment horizontal="center"/>
    </xf>
    <xf numFmtId="0" fontId="2" fillId="2" borderId="22" xfId="0" applyFont="1" applyFill="1" applyBorder="1" applyAlignment="1">
      <alignment horizontal="center"/>
    </xf>
    <xf numFmtId="0" fontId="2" fillId="2" borderId="6" xfId="0" applyFont="1" applyFill="1" applyBorder="1" applyAlignment="1">
      <alignment horizontal="center"/>
    </xf>
    <xf numFmtId="0" fontId="3" fillId="2" borderId="7" xfId="0" applyFont="1" applyFill="1" applyBorder="1" applyAlignment="1">
      <alignment horizontal="center"/>
    </xf>
    <xf numFmtId="168" fontId="1" fillId="5" borderId="1" xfId="0" applyNumberFormat="1" applyFont="1" applyFill="1" applyBorder="1" applyAlignment="1">
      <alignment horizontal="center"/>
    </xf>
    <xf numFmtId="0" fontId="4" fillId="0" borderId="20"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17" xfId="0" applyFont="1" applyBorder="1" applyAlignment="1">
      <alignment horizontal="center"/>
    </xf>
    <xf numFmtId="0" fontId="4" fillId="0" borderId="18" xfId="0" applyFont="1" applyBorder="1" applyAlignment="1">
      <alignment horizontal="center"/>
    </xf>
    <xf numFmtId="0" fontId="4" fillId="0" borderId="19" xfId="0" applyFont="1" applyBorder="1" applyAlignment="1">
      <alignment horizontal="center"/>
    </xf>
    <xf numFmtId="0" fontId="0" fillId="0" borderId="0" xfId="0"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167" fontId="1" fillId="5" borderId="11" xfId="0" applyNumberFormat="1" applyFont="1" applyFill="1" applyBorder="1" applyAlignment="1">
      <alignment horizontal="center"/>
    </xf>
    <xf numFmtId="167" fontId="1" fillId="5" borderId="15" xfId="0" applyNumberFormat="1" applyFont="1" applyFill="1" applyBorder="1" applyAlignment="1">
      <alignment horizontal="center"/>
    </xf>
    <xf numFmtId="168" fontId="1" fillId="5" borderId="1" xfId="0" applyNumberFormat="1" applyFont="1" applyFill="1" applyBorder="1" applyAlignment="1">
      <alignment horizontal="center"/>
    </xf>
    <xf numFmtId="168" fontId="1" fillId="5" borderId="14" xfId="0" applyNumberFormat="1"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16" xfId="0" applyFont="1" applyFill="1" applyBorder="1" applyAlignment="1">
      <alignment horizontal="center"/>
    </xf>
    <xf numFmtId="165" fontId="5" fillId="5" borderId="6" xfId="0" applyNumberFormat="1" applyFont="1" applyFill="1" applyBorder="1" applyAlignment="1">
      <alignment horizontal="center"/>
    </xf>
    <xf numFmtId="165" fontId="5" fillId="5" borderId="7" xfId="0" applyNumberFormat="1" applyFont="1" applyFill="1" applyBorder="1" applyAlignment="1">
      <alignment horizontal="center"/>
    </xf>
    <xf numFmtId="165" fontId="5" fillId="5" borderId="9" xfId="0" applyNumberFormat="1" applyFont="1" applyFill="1" applyBorder="1" applyAlignment="1">
      <alignment horizontal="center"/>
    </xf>
    <xf numFmtId="165" fontId="5" fillId="5" borderId="10" xfId="0" applyNumberFormat="1" applyFont="1" applyFill="1" applyBorder="1" applyAlignment="1">
      <alignment horizontal="center"/>
    </xf>
    <xf numFmtId="9" fontId="4" fillId="5" borderId="16" xfId="0" applyNumberFormat="1" applyFont="1" applyFill="1" applyBorder="1" applyAlignment="1">
      <alignment horizontal="center" vertical="center"/>
    </xf>
    <xf numFmtId="9" fontId="4" fillId="5" borderId="21" xfId="0" applyNumberFormat="1" applyFont="1" applyFill="1" applyBorder="1" applyAlignment="1">
      <alignment horizontal="center" vertical="center"/>
    </xf>
    <xf numFmtId="165" fontId="5" fillId="5" borderId="22" xfId="0" applyNumberFormat="1" applyFont="1" applyFill="1" applyBorder="1" applyAlignment="1">
      <alignment horizontal="center"/>
    </xf>
    <xf numFmtId="165" fontId="5" fillId="5" borderId="8" xfId="0" applyNumberFormat="1" applyFont="1" applyFill="1" applyBorder="1" applyAlignment="1">
      <alignment horizontal="center"/>
    </xf>
    <xf numFmtId="0" fontId="1" fillId="5" borderId="1" xfId="0" applyFont="1" applyFill="1" applyBorder="1" applyAlignment="1">
      <alignment horizontal="center"/>
    </xf>
    <xf numFmtId="0" fontId="4" fillId="5" borderId="1" xfId="0" applyFont="1" applyFill="1" applyBorder="1" applyAlignment="1">
      <alignment horizontal="center"/>
    </xf>
    <xf numFmtId="167" fontId="1" fillId="5" borderId="1" xfId="0" applyNumberFormat="1" applyFont="1" applyFill="1" applyBorder="1" applyAlignment="1">
      <alignment horizontal="center"/>
    </xf>
    <xf numFmtId="167" fontId="1" fillId="5" borderId="9" xfId="0" applyNumberFormat="1" applyFont="1" applyFill="1" applyBorder="1" applyAlignment="1">
      <alignment horizontal="center"/>
    </xf>
    <xf numFmtId="0" fontId="1" fillId="5" borderId="9" xfId="0" applyFont="1" applyFill="1" applyBorder="1" applyAlignment="1">
      <alignment horizontal="center"/>
    </xf>
    <xf numFmtId="0" fontId="4" fillId="5" borderId="9" xfId="0" applyFont="1" applyFill="1" applyBorder="1" applyAlignment="1">
      <alignment horizontal="center"/>
    </xf>
    <xf numFmtId="165" fontId="1" fillId="5" borderId="1" xfId="0" applyNumberFormat="1" applyFont="1" applyFill="1" applyBorder="1"/>
    <xf numFmtId="9" fontId="1" fillId="5" borderId="1" xfId="0" applyNumberFormat="1" applyFont="1" applyFill="1" applyBorder="1" applyAlignment="1">
      <alignment horizontal="center"/>
    </xf>
    <xf numFmtId="166" fontId="1" fillId="5" borderId="1" xfId="0" applyNumberFormat="1" applyFont="1" applyFill="1" applyBorder="1" applyAlignment="1">
      <alignment horizontal="center"/>
    </xf>
    <xf numFmtId="166" fontId="1" fillId="5" borderId="9" xfId="0" applyNumberFormat="1" applyFont="1" applyFill="1" applyBorder="1" applyAlignment="1">
      <alignment horizontal="center"/>
    </xf>
    <xf numFmtId="9" fontId="1" fillId="5" borderId="9" xfId="0" applyNumberFormat="1" applyFont="1" applyFill="1" applyBorder="1" applyAlignment="1">
      <alignment horizontal="center"/>
    </xf>
    <xf numFmtId="171" fontId="1" fillId="5" borderId="1" xfId="0" applyNumberFormat="1" applyFont="1" applyFill="1" applyBorder="1" applyAlignment="1">
      <alignment horizontal="center"/>
    </xf>
    <xf numFmtId="0" fontId="1" fillId="2" borderId="1" xfId="0" applyFont="1" applyFill="1" applyBorder="1"/>
    <xf numFmtId="4" fontId="1" fillId="2" borderId="1" xfId="0" applyNumberFormat="1" applyFont="1" applyFill="1" applyBorder="1" applyAlignment="1">
      <alignment horizontal="center"/>
    </xf>
    <xf numFmtId="0" fontId="1" fillId="2" borderId="1" xfId="0" applyFont="1" applyFill="1" applyBorder="1" applyAlignment="1">
      <alignment horizontal="center"/>
    </xf>
    <xf numFmtId="0" fontId="1" fillId="2" borderId="9" xfId="0" applyFont="1" applyFill="1" applyBorder="1" applyAlignment="1">
      <alignment horizontal="center"/>
    </xf>
    <xf numFmtId="0" fontId="1" fillId="2" borderId="9" xfId="0" applyFont="1" applyFill="1" applyBorder="1"/>
    <xf numFmtId="0" fontId="2" fillId="5" borderId="0" xfId="0" applyFont="1" applyFill="1" applyBorder="1" applyAlignment="1">
      <alignment horizontal="center"/>
    </xf>
    <xf numFmtId="10" fontId="1" fillId="5" borderId="0" xfId="0" applyNumberFormat="1" applyFont="1" applyFill="1" applyBorder="1" applyAlignment="1">
      <alignment horizontal="center"/>
    </xf>
    <xf numFmtId="166" fontId="1" fillId="5" borderId="0" xfId="0" applyNumberFormat="1" applyFont="1" applyFill="1" applyBorder="1" applyAlignment="1">
      <alignment horizontal="center"/>
    </xf>
    <xf numFmtId="0" fontId="4" fillId="5" borderId="0" xfId="0" applyFont="1" applyFill="1" applyBorder="1" applyAlignment="1">
      <alignment horizontal="center"/>
    </xf>
    <xf numFmtId="0" fontId="2" fillId="2" borderId="1" xfId="0" applyFont="1" applyFill="1" applyBorder="1" applyAlignment="1">
      <alignment horizontal="center"/>
    </xf>
    <xf numFmtId="164" fontId="1" fillId="5" borderId="1" xfId="0" applyNumberFormat="1" applyFont="1" applyFill="1" applyBorder="1" applyAlignment="1">
      <alignment horizontal="center"/>
    </xf>
    <xf numFmtId="169" fontId="2" fillId="2" borderId="1" xfId="0" applyNumberFormat="1" applyFont="1" applyFill="1" applyBorder="1" applyAlignment="1">
      <alignment horizontal="center"/>
    </xf>
  </cellXfs>
  <cellStyles count="1">
    <cellStyle name="Normal" xfId="0" builtinId="0"/>
  </cellStyles>
  <dxfs count="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FFC000"/>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גיליון1!$D$3</c:f>
              <c:strCache>
                <c:ptCount val="1"/>
                <c:pt idx="0">
                  <c:v>סקטור</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8-12DC-4080-8BCF-9811D84D0CE8}"/>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9-12DC-4080-8BCF-9811D84D0CE8}"/>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A-12DC-4080-8BCF-9811D84D0CE8}"/>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B-12DC-4080-8BCF-9811D84D0CE8}"/>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C-12DC-4080-8BCF-9811D84D0CE8}"/>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0-12DC-4080-8BCF-9811D84D0CE8}"/>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0F-12DC-4080-8BCF-9811D84D0CE8}"/>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0D-12DC-4080-8BCF-9811D84D0CE8}"/>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0E-12DC-4080-8BCF-9811D84D0CE8}"/>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07-12DC-4080-8BCF-9811D84D0CE8}"/>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06-12DC-4080-8BCF-9811D84D0CE8}"/>
              </c:ext>
            </c:extLst>
          </c:dPt>
          <c:dPt>
            <c:idx val="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05-12DC-4080-8BCF-9811D84D0CE8}"/>
              </c:ext>
            </c:extLst>
          </c:dPt>
          <c:dPt>
            <c:idx val="1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04-12DC-4080-8BCF-9811D84D0CE8}"/>
              </c:ext>
            </c:extLst>
          </c:dPt>
          <c:dPt>
            <c:idx val="1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03-12DC-4080-8BCF-9811D84D0CE8}"/>
              </c:ext>
            </c:extLst>
          </c:dPt>
          <c:dPt>
            <c:idx val="1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02-12DC-4080-8BCF-9811D84D0CE8}"/>
              </c:ext>
            </c:extLst>
          </c:dPt>
          <c:dLbls>
            <c:dLbl>
              <c:idx val="0"/>
              <c:layout>
                <c:manualLayout>
                  <c:x val="-0.20207615075680721"/>
                  <c:y val="4.53138981395561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2DC-4080-8BCF-9811D84D0CE8}"/>
                </c:ext>
              </c:extLst>
            </c:dLbl>
            <c:dLbl>
              <c:idx val="1"/>
              <c:layout>
                <c:manualLayout>
                  <c:x val="-0.15019173367060007"/>
                  <c:y val="-0.1424151084386049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2DC-4080-8BCF-9811D84D0CE8}"/>
                </c:ext>
              </c:extLst>
            </c:dLbl>
            <c:dLbl>
              <c:idx val="2"/>
              <c:layout>
                <c:manualLayout>
                  <c:x val="-0.12288414573049097"/>
                  <c:y val="-0.2459897327575903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2DC-4080-8BCF-9811D84D0CE8}"/>
                </c:ext>
              </c:extLst>
            </c:dLbl>
            <c:dLbl>
              <c:idx val="3"/>
              <c:layout>
                <c:manualLayout>
                  <c:x val="0.22119146231488357"/>
                  <c:y val="5.826072617942927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2DC-4080-8BCF-9811D84D0CE8}"/>
                </c:ext>
              </c:extLst>
            </c:dLbl>
            <c:dLbl>
              <c:idx val="4"/>
              <c:layout>
                <c:manualLayout>
                  <c:x val="0.11469186934845815"/>
                  <c:y val="9.062779627911220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2DC-4080-8BCF-9811D84D0CE8}"/>
                </c:ext>
              </c:extLst>
            </c:dLbl>
            <c:dLbl>
              <c:idx val="5"/>
              <c:layout>
                <c:manualLayout>
                  <c:x val="2.7307587940109085E-3"/>
                  <c:y val="0.1229948663787951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2DC-4080-8BCF-9811D84D0CE8}"/>
                </c:ext>
              </c:extLst>
            </c:dLbl>
            <c:dLbl>
              <c:idx val="6"/>
              <c:layout>
                <c:manualLayout>
                  <c:x val="-5.1884417086207259E-2"/>
                  <c:y val="0.1003379173090170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2DC-4080-8BCF-9811D84D0CE8}"/>
                </c:ext>
              </c:extLst>
            </c:dLbl>
            <c:dLbl>
              <c:idx val="7"/>
              <c:layout>
                <c:manualLayout>
                  <c:x val="2.7307587940109085E-3"/>
                  <c:y val="7.768096823923903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2DC-4080-8BCF-9811D84D0CE8}"/>
                </c:ext>
              </c:extLst>
            </c:dLbl>
            <c:dLbl>
              <c:idx val="8"/>
              <c:layout>
                <c:manualLayout>
                  <c:x val="1.3653793970054543E-2"/>
                  <c:y val="6.149692347175820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2DC-4080-8BCF-9811D84D0CE8}"/>
                </c:ext>
              </c:extLst>
            </c:dLbl>
            <c:dLbl>
              <c:idx val="9"/>
              <c:layout>
                <c:manualLayout>
                  <c:x val="0.12288414573049088"/>
                  <c:y val="3.2367070099682928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2DC-4080-8BCF-9811D84D0CE8}"/>
                </c:ext>
              </c:extLst>
            </c:dLbl>
            <c:dLbl>
              <c:idx val="10"/>
              <c:layout>
                <c:manualLayout>
                  <c:x val="-1.3653793970054543E-2"/>
                  <c:y val="2.265694906977803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DC-4080-8BCF-9811D84D0CE8}"/>
                </c:ext>
              </c:extLst>
            </c:dLbl>
            <c:dLbl>
              <c:idx val="11"/>
              <c:layout>
                <c:manualLayout>
                  <c:x val="-4.9153658292196353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DC-4080-8BCF-9811D84D0CE8}"/>
                </c:ext>
              </c:extLst>
            </c:dLbl>
            <c:dLbl>
              <c:idx val="12"/>
              <c:layout>
                <c:manualLayout>
                  <c:x val="-2.4576829146098177E-2"/>
                  <c:y val="-3.884048411961951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2DC-4080-8BCF-9811D84D0CE8}"/>
                </c:ext>
              </c:extLst>
            </c:dLbl>
            <c:dLbl>
              <c:idx val="13"/>
              <c:layout>
                <c:manualLayout>
                  <c:x val="5.4615175880218116E-2"/>
                  <c:y val="-2.913036308971464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DC-4080-8BCF-9811D84D0CE8}"/>
                </c:ext>
              </c:extLst>
            </c:dLbl>
            <c:dLbl>
              <c:idx val="14"/>
              <c:layout>
                <c:manualLayout>
                  <c:x val="0.14746097487658905"/>
                  <c:y val="-4.207719112958781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DC-4080-8BCF-9811D84D0CE8}"/>
                </c:ext>
              </c:extLst>
            </c:dLbl>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Open Sans Hebrew" panose="00000500000000000000" pitchFamily="2" charset="-79"/>
                    <a:ea typeface="+mn-ea"/>
                    <a:cs typeface="Open Sans Hebrew" panose="00000500000000000000" pitchFamily="2" charset="-79"/>
                  </a:defRPr>
                </a:pPr>
                <a:endParaRPr lang="LID4096"/>
              </a:p>
            </c:txPr>
            <c:dLblPos val="outEnd"/>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גיליון1!$D$4:$D$18</c:f>
              <c:strCache>
                <c:ptCount val="15"/>
                <c:pt idx="0">
                  <c:v>מדדים</c:v>
                </c:pt>
                <c:pt idx="1">
                  <c:v>קריפטו</c:v>
                </c:pt>
                <c:pt idx="2">
                  <c:v>טכנולוגיה</c:v>
                </c:pt>
                <c:pt idx="3">
                  <c:v>פיננסים</c:v>
                </c:pt>
                <c:pt idx="4">
                  <c:v>דיבידנדים</c:v>
                </c:pt>
                <c:pt idx="5">
                  <c:v>שבבים</c:v>
                </c:pt>
                <c:pt idx="6">
                  <c:v>חומרה</c:v>
                </c:pt>
                <c:pt idx="7">
                  <c:v>תשתיות מידע</c:v>
                </c:pt>
                <c:pt idx="8">
                  <c:v>טכנולוגיות קוונטיות</c:v>
                </c:pt>
                <c:pt idx="9">
                  <c:v>קמעונאות</c:v>
                </c:pt>
                <c:pt idx="10">
                  <c:v>שירותי תקשורת</c:v>
                </c:pt>
                <c:pt idx="11">
                  <c:v>תחבורה</c:v>
                </c:pt>
                <c:pt idx="12">
                  <c:v>בריאות</c:v>
                </c:pt>
                <c:pt idx="13">
                  <c:v>תרופות</c:v>
                </c:pt>
                <c:pt idx="14">
                  <c:v>נשק</c:v>
                </c:pt>
              </c:strCache>
            </c:strRef>
          </c:cat>
          <c:val>
            <c:numRef>
              <c:f>גיליון1!$C$4:$C$18</c:f>
              <c:numCache>
                <c:formatCode>0%</c:formatCode>
                <c:ptCount val="15"/>
                <c:pt idx="0">
                  <c:v>0.48187627036202846</c:v>
                </c:pt>
                <c:pt idx="1">
                  <c:v>1.4167035348944991E-4</c:v>
                </c:pt>
                <c:pt idx="2">
                  <c:v>6.228842547335408E-2</c:v>
                </c:pt>
                <c:pt idx="3">
                  <c:v>0</c:v>
                </c:pt>
                <c:pt idx="4">
                  <c:v>0</c:v>
                </c:pt>
                <c:pt idx="5">
                  <c:v>0</c:v>
                </c:pt>
                <c:pt idx="6">
                  <c:v>2.2543541334631087E-2</c:v>
                </c:pt>
                <c:pt idx="7">
                  <c:v>5.7765703446577277E-3</c:v>
                </c:pt>
                <c:pt idx="8">
                  <c:v>0</c:v>
                </c:pt>
                <c:pt idx="9">
                  <c:v>0</c:v>
                </c:pt>
                <c:pt idx="10">
                  <c:v>3.4683234511442472E-2</c:v>
                </c:pt>
                <c:pt idx="11">
                  <c:v>0</c:v>
                </c:pt>
                <c:pt idx="12">
                  <c:v>1.2809452363420123E-2</c:v>
                </c:pt>
                <c:pt idx="13">
                  <c:v>0</c:v>
                </c:pt>
                <c:pt idx="14">
                  <c:v>0</c:v>
                </c:pt>
              </c:numCache>
            </c:numRef>
          </c:val>
          <c:extLst>
            <c:ext xmlns:c16="http://schemas.microsoft.com/office/drawing/2014/chart" uri="{C3380CC4-5D6E-409C-BE32-E72D297353CC}">
              <c16:uniqueId val="{00000001-12DC-4080-8BCF-9811D84D0CE8}"/>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Open Sans Hebrew" panose="00000500000000000000" pitchFamily="2" charset="-79"/>
              <a:ea typeface="+mn-ea"/>
              <a:cs typeface="Open Sans Hebrew" panose="00000500000000000000" pitchFamily="2" charset="-79"/>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Open Sans Hebrew" panose="00000500000000000000" pitchFamily="2" charset="-79"/>
          <a:cs typeface="Open Sans Hebrew" panose="00000500000000000000" pitchFamily="2" charset="-79"/>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21</xdr:row>
      <xdr:rowOff>53340</xdr:rowOff>
    </xdr:from>
    <xdr:to>
      <xdr:col>6</xdr:col>
      <xdr:colOff>106905</xdr:colOff>
      <xdr:row>35</xdr:row>
      <xdr:rowOff>45720</xdr:rowOff>
    </xdr:to>
    <xdr:graphicFrame macro="">
      <xdr:nvGraphicFramePr>
        <xdr:cNvPr id="7" name="תרשים 6">
          <a:extLst>
            <a:ext uri="{FF2B5EF4-FFF2-40B4-BE49-F238E27FC236}">
              <a16:creationId xmlns:a16="http://schemas.microsoft.com/office/drawing/2014/main" id="{D033C10B-7504-14BE-B28C-7A4C31BD1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71">
  <rv s="0">
    <v>https://www.bing.com/financeapi/forcetrigger?t=c438im&amp;q=XNAS%3aIREN&amp;form=skydnc</v>
    <v>Learn more on Bing</v>
  </rv>
  <rv s="1">
    <v>en-US</v>
    <v>c438im</v>
    <v>268435456</v>
    <v>1</v>
    <v>Powered by Refinitiv</v>
    <v>0</v>
    <v>IREN LIMITED (XNAS:IREN)</v>
    <v>2</v>
    <v>3</v>
    <v>Finance</v>
    <v>4</v>
    <v>76.87</v>
    <v>5.125</v>
    <v>4.2622</v>
    <v>-1.31</v>
    <v>-2.6927E-2</v>
    <v>USD</v>
    <v>IREN Limited is an Australia-based company, which owns and operates data centers powered by 100% renewable energy. Its facilities are optimized for Bitcoin mining, artificial intelligence (AI) cloud services, and other power-dense compute. Its data center mining facilities are in Canal Flats, Mackenzie, Prince George and Childress. Bitcoin Mining provides security to the Bitcoin network. Al Cloud Services provides cloud compute to Al customers, approximately 1,896 NVIDIA H100 and H200 GPUs. Its Canal Flats facility is in the Canadian Rockies, 100 kilometers (km) from Cranbrook regional airport and 500km east of Vancouver. Its facility is in Prince George, the city in northern British Columbia, located 500 km north of Vancouver. Its facility is located in Childress County, Texas, over 250 miles northwest of Dallas and in close proximity to multiple wind and solar generating facilities in the region. Its Childress operations comprise 200 Mega Watt of operating data centers.</v>
    <v>257</v>
    <v>Nasdaq Stock Market</v>
    <v>XNAS</v>
    <v>XNAS</v>
    <v>Level 6, 55 Market Street, SYDNEY, NEW SOUTH WALES, 2000 AU</v>
    <v>50.18</v>
    <v>Financial Technology (Fintech) &amp; Infrastructure</v>
    <v>Stock</v>
    <v>45975.840162060158</v>
    <v>0</v>
    <v>44.55</v>
    <v>13419256770</v>
    <v>IREN LIMITED</v>
    <v>IREN LIMITED</v>
    <v>45.67</v>
    <v>34.491799999999998</v>
    <v>48.65</v>
    <v>47.34</v>
    <v>283465500</v>
    <v>IREN</v>
    <v>IREN LIMITED (XNAS:IREN)</v>
    <v>42590108</v>
    <v>42342414</v>
    <v>2018</v>
  </rv>
  <rv s="2">
    <v>1</v>
  </rv>
  <rv s="3">
    <v>en-US</v>
    <v>avyoh7</v>
    <v>268435456</v>
    <v>1</v>
    <v>Powered by Refinitiv</v>
    <v>5</v>
    <v>USD/ILS</v>
    <v>6</v>
    <v>7</v>
    <v>Finance</v>
    <v>8</v>
    <v>3.8363</v>
    <v>3.1838000000000002</v>
    <v>3.2000000000000002E-3</v>
    <v>9.9250000000000011E-4</v>
    <v>ILS</v>
    <v>USD</v>
    <v>3.2483</v>
    <v>Currency Pair</v>
    <v>45975.840081018519</v>
    <v>3.2206000000000001</v>
    <v>US Dollar/Israeli Shekel FX Spot Rate</v>
    <v>3.2231000000000001</v>
    <v>3.2241</v>
    <v>3.2273000000000001</v>
    <v>USDILS</v>
    <v>USD/ILS</v>
  </rv>
  <rv s="2">
    <v>3</v>
  </rv>
  <rv s="0">
    <v>https://www.bing.com/financeapi/forcetrigger?t=a25dp2&amp;q=BATS%3aVIXY&amp;form=skydnc</v>
    <v>Learn more on Bing</v>
  </rv>
  <rv s="4">
    <v>en-US</v>
    <v>a25dp2</v>
    <v>268435456</v>
    <v>1</v>
    <v>Powered by Refinitiv</v>
    <v>9</v>
    <v>ProShs II:VIX ST Fut (BATS:VIXY)</v>
    <v>10</v>
    <v>11</v>
    <v>Finance</v>
    <v>12</v>
    <v>89.144900000000007</v>
    <v>30.96</v>
    <v>-2.4300000000000002</v>
    <v>-0.96</v>
    <v>-2.8103E-2</v>
    <v>USD</v>
    <v>CBOE BZX Exchange</v>
    <v>BATS</v>
    <v>1.09E-2</v>
    <v>35.729999999999997</v>
    <v>ETF</v>
    <v>45975.840158193751</v>
    <v>5</v>
    <v>32.99</v>
    <v>289864752.19</v>
    <v>ProShs II:VIX ST Fut</v>
    <v>35.21</v>
    <v>34.159999999999997</v>
    <v>33.200000000000003</v>
    <v>VIXY</v>
    <v>ProShs II:VIX ST Fut (BATS:VIXY)</v>
    <v>3455851</v>
    <v>3779714</v>
  </rv>
  <rv s="2">
    <v>6</v>
  </rv>
  <rv s="0">
    <v>https://www.bing.com/financeapi/forcetrigger?t=a26dyc&amp;q=XNAS%3aYNDX&amp;form=skydnc</v>
    <v>Learn more on Bing</v>
  </rv>
  <rv s="1">
    <v>en-US</v>
    <v>a26dyc</v>
    <v>268435456</v>
    <v>1</v>
    <v>Powered by Refinitiv</v>
    <v>0</v>
    <v>Nebius Group NV (XNAS:NBIS)</v>
    <v>2</v>
    <v>3</v>
    <v>Finance</v>
    <v>4</v>
    <v>141.1</v>
    <v>17.385000000000002</v>
    <v>-12.493</v>
    <v>-3.27</v>
    <v>-3.6894999999999997E-2</v>
    <v>USD</v>
    <v>Nebius Group NV is a Netherlands-based infrastructure company operating in the technology industry. The Company is engaged in developing a portfolio of artificial intelligence-related technology assets. It is involved in creating an artificial intelligence-centric player to integrate the essential elements of artificial intelligence development with infrastructure, data and advisory globally. It offers products and services such as a cloud platform for artificial intelligence-related workloads, development team services for autonomous vehicles, development of generative artificial intelligence. Nebius builds full-stack infrastructure to service the growth of the global AI industry, including GPU clusters, cloud platforms and tools and services for developers. Company is developing three other businesses that operate under their own brands: Toloka AI, TripleTen and Avride.</v>
    <v>1371</v>
    <v>Nasdaq Stock Market</v>
    <v>XNAS</v>
    <v>XNAS</v>
    <v>Gustav Mahlerlaan 300, AMSTERDAM, NOORD-HOLLAND, 1082 ME NL</v>
    <v>89</v>
    <v>Professional &amp; Commercial Services</v>
    <v>Stock</v>
    <v>45975.840175416408</v>
    <v>8</v>
    <v>82</v>
    <v>21494262592</v>
    <v>Nebius Group NV</v>
    <v>Nebius Group NV</v>
    <v>82.22</v>
    <v>95.045100000000005</v>
    <v>88.63</v>
    <v>85.36</v>
    <v>251807200</v>
    <v>NBIS</v>
    <v>Nebius Group NV (XNAS:NBIS)</v>
    <v>27650051</v>
    <v>19827040</v>
    <v>2004</v>
  </rv>
  <rv s="2">
    <v>9</v>
  </rv>
  <rv s="5">
    <v>en-US</v>
    <v>cgblqh</v>
    <v>268435456</v>
    <v>1</v>
    <v>Powered by Refinitiv</v>
    <v>13</v>
    <v>COREWEAVE, INC. (XNAS:CRWV)</v>
    <v>14</v>
    <v>15</v>
    <v>Finance</v>
    <v>4</v>
    <v>187</v>
    <v>33.515000000000001</v>
    <v>2.5590000000000002</v>
    <v>-0.14000000000000001</v>
    <v>-1.787E-3</v>
    <v>USD</v>
    <v>CoreWeave, Inc. is a cloud infrastructure technology company. The Company offers the CoreWeave Cloud Platform, which consists of software and cloud services that deliver the automation and efficiency needed to manage complex artificial intelligence (AI) infrastructure. Its CoreWeave Cloud Platform is an integrated solution that is purpose-built for running AI workloads such as model training and inference. Its solutions include infrastructure services, managed software services, and application software services. Its Infrastructure Services provide its customers with access to advanced graphics processing unit (GPU) and central processing unit (CPU) compute, highly performant networking, and storage. Its Managed Software Services include CKS, a flexible virtual private cloud and a bare metal service that runs kubernetes directly on high-performance servers. Its Application Software Services build on top of its infrastructure and managed software services, integrating additional tools.</v>
    <v>Nasdaq Stock Market</v>
    <v>XNAS</v>
    <v>XNAS</v>
    <v>290 W. Mt. Pleasant Avenue, Suite 4100, LIVINGSTON, NJ, 07039 US</v>
    <v>80.2</v>
    <v>Software &amp; IT Services</v>
    <v>Stock</v>
    <v>45975.840179883591</v>
    <v>73.47</v>
    <v>38717015500</v>
    <v>COREWEAVE, INC.</v>
    <v>COREWEAVE, INC.</v>
    <v>75.88</v>
    <v>0</v>
    <v>78.34</v>
    <v>78.2</v>
    <v>495102500</v>
    <v>CRWV</v>
    <v>COREWEAVE, INC. (XNAS:CRWV)</v>
    <v>46754053</v>
    <v>27547857</v>
    <v>2017</v>
  </rv>
  <rv s="2">
    <v>11</v>
  </rv>
  <rv s="0">
    <v>https://www.bing.com/financeapi/forcetrigger?t=bwvem7&amp;q=XNAS%3aABNB&amp;form=skydnc</v>
    <v>Learn more on Bing</v>
  </rv>
  <rv s="1">
    <v>en-US</v>
    <v>bwvem7</v>
    <v>268435456</v>
    <v>1</v>
    <v>Powered by Refinitiv</v>
    <v>0</v>
    <v>AIRBNB, INC. (XNAS:ABNB)</v>
    <v>2</v>
    <v>3</v>
    <v>Finance</v>
    <v>4</v>
    <v>163.93</v>
    <v>99.88</v>
    <v>1.1155999999999999</v>
    <v>1.335</v>
    <v>1.1016E-2</v>
    <v>USD</v>
    <v>Airbnb, Inc. operates a global platform for stays and experiences. The Company’s marketplace model connects hosts and guests online or through mobile devices to book spaces and experiences around the world. The Company has built its platform to onboard new hosts, especially those who previously had not considered hosting. It partners with hosts throughout the process of setting up their listing and provides them with a suite of tools to manage their listings, including scheduling, merchandising, integrated payments, community support, host protection, pricing guidance, and feedback from reviews. Its Website and mobile applications provide its guests with a way to explore a variety of homes and experiences and an easy way to book them. Its technology platform powers its two-sided marketplace and enables its global network of hosts and guests. It owns a trademark portfolio with protection in 220 countries in which it operates for its primary brands, AIRBNB, and its Belo logo.</v>
    <v>7300</v>
    <v>Nasdaq Stock Market</v>
    <v>XNAS</v>
    <v>XNAS</v>
    <v>888 Brannan St., SAN FRANCISCO, CA, 94103 US</v>
    <v>122.75</v>
    <v>Software &amp; IT Services</v>
    <v>Stock</v>
    <v>45975.840162128909</v>
    <v>13</v>
    <v>119.60420000000001</v>
    <v>74292996992</v>
    <v>AIRBNB, INC.</v>
    <v>AIRBNB, INC.</v>
    <v>120.96</v>
    <v>29.104700000000001</v>
    <v>121.19</v>
    <v>122.52500000000001</v>
    <v>606349700</v>
    <v>ABNB</v>
    <v>AIRBNB, INC. (XNAS:ABNB)</v>
    <v>2538178</v>
    <v>4946691</v>
    <v>2008</v>
  </rv>
  <rv s="2">
    <v>14</v>
  </rv>
  <rv s="0">
    <v>https://www.bing.com/financeapi/forcetrigger?t=a21icw&amp;q=XNAS%3aPYPL&amp;form=skydnc</v>
    <v>Learn more on Bing</v>
  </rv>
  <rv s="1">
    <v>en-US</v>
    <v>a21icw</v>
    <v>268435456</v>
    <v>1</v>
    <v>Powered by Refinitiv</v>
    <v>0</v>
    <v>PAYPAL HOLDINGS, INC. (XNAS:PYPL)</v>
    <v>2</v>
    <v>3</v>
    <v>Finance</v>
    <v>4</v>
    <v>93.66</v>
    <v>55.85</v>
    <v>1.4340999999999999</v>
    <v>-2.335</v>
    <v>-3.5741999999999996E-2</v>
    <v>USD</v>
    <v>PayPal Holdings, Inc. offers a technology platform. The Company’s products are designed to enable digital payments and simplify commerce experiences for consumers and merchants to make selling, shopping, and sending and receiving money simple, personalized, and secure, online or offline, including mobile. It provides consumers with a digital wallet that enables them to send payments to merchants securely using a variety of funding sources, which include a bank account, a PayPal or Venmo account balance, its consumer credit products, a credit card, a debit card, certain cryptocurrencies, or other stored value products. It operates a global, two-sided network at scale that connects consumers and merchants with 434 million active accounts across approximately 200 markets. Its brands include PayPal, Braintree, Venmo, Xoom, Hyperwallet, PayPal Zettle, PayPal Honey, and Paidy. It offers financing products through the PayPal Working Capital (PPWC) and PayPal Business Loan (PPBL).</v>
    <v>24400</v>
    <v>Nasdaq Stock Market</v>
    <v>XNAS</v>
    <v>XNAS</v>
    <v>2211 N 1st St, SAN JOSE, CA, 95131 US</v>
    <v>64.650000000000006</v>
    <v>Professional &amp; Commercial Services</v>
    <v>Stock</v>
    <v>45975.840151805467</v>
    <v>16</v>
    <v>62.875</v>
    <v>58941397740</v>
    <v>PAYPAL HOLDINGS, INC.</v>
    <v>PAYPAL HOLDINGS, INC.</v>
    <v>64.11</v>
    <v>12.6326</v>
    <v>65.33</v>
    <v>62.994999999999997</v>
    <v>935652000</v>
    <v>PYPL</v>
    <v>PAYPAL HOLDINGS, INC. (XNAS:PYPL)</v>
    <v>16265525</v>
    <v>17534655</v>
    <v>2015</v>
  </rv>
  <rv s="2">
    <v>17</v>
  </rv>
  <rv s="0">
    <v>https://www.bing.com/financeapi/forcetrigger?t=c2mtww&amp;q=XNAS%3aHOOD&amp;form=skydnc</v>
    <v>Learn more on Bing</v>
  </rv>
  <rv s="1">
    <v>en-US</v>
    <v>c2mtww</v>
    <v>268435456</v>
    <v>1</v>
    <v>Powered by Refinitiv</v>
    <v>0</v>
    <v>ROBINHOOD MARKETS, INC. (XNAS:HOOD)</v>
    <v>2</v>
    <v>3</v>
    <v>Finance</v>
    <v>4</v>
    <v>153.85990000000001</v>
    <v>29.66</v>
    <v>2.4575</v>
    <v>3.3472</v>
    <v>2.7542000000000001E-2</v>
    <v>USD</v>
    <v>Robinhood Markets, Inc. is creating a financial services platform for everyone, regardless of their wealth, income, or background. It uses technology to provide access to the financial system. Its offerings include Brokerage, Robinhood Crypto, Custody, Robinhood Wallet, Robinhood Gold, and Robinhood Gold Card. Its Brokerage services include investing, options trading, fractional trading, recurring investment, access to investing on margin, fully paid securities lending, cash sweep, instant withdrawals, Robinhood retirement, 24-hour market, joint investing accounts, and event contracts. It also offers a variety of ways for its customers to grow their financial knowledge, including Robinhood Learn, In-App Education, Newsfeeds, Sherwood Snacks, and Crypto Learn and Earn. Its self-clearing system, order routing system, data platform, and other back-end infrastructure deliver the capabilities that allow its customers to focus on investing, saving and spending.</v>
    <v>2300</v>
    <v>Nasdaq Stock Market</v>
    <v>XNAS</v>
    <v>XNAS</v>
    <v>85 Willow Road, MENLO PARK, CA, 94025 US</v>
    <v>126.5</v>
    <v>Financial Technology (Fintech) &amp; Infrastructure</v>
    <v>Stock</v>
    <v>45975.840141122659</v>
    <v>19</v>
    <v>114</v>
    <v>112288179615</v>
    <v>ROBINHOOD MARKETS, INC.</v>
    <v>ROBINHOOD MARKETS, INC.</v>
    <v>115.08</v>
    <v>55.177300000000002</v>
    <v>121.53</v>
    <v>124.8772</v>
    <v>899188800</v>
    <v>HOOD</v>
    <v>ROBINHOOD MARKETS, INC. (XNAS:HOOD)</v>
    <v>28263366</v>
    <v>27557596</v>
    <v>2013</v>
  </rv>
  <rv s="2">
    <v>20</v>
  </rv>
  <rv s="0">
    <v>https://www.bing.com/financeapi/forcetrigger?t=a1ndww&amp;q=XNAS%3aAMD&amp;form=skydnc</v>
    <v>Learn more on Bing</v>
  </rv>
  <rv s="1">
    <v>en-US</v>
    <v>a1ndww</v>
    <v>268435456</v>
    <v>1</v>
    <v>Powered by Refinitiv</v>
    <v>0</v>
    <v>ADVANCED MICRO DEVICES, INC. (XNAS:AMD)</v>
    <v>2</v>
    <v>3</v>
    <v>Finance</v>
    <v>4</v>
    <v>267.07990000000001</v>
    <v>76.48</v>
    <v>1.9144000000000001</v>
    <v>0.88</v>
    <v>3.5490000000000001E-3</v>
    <v>USD</v>
    <v>Advanced Micro Devices, Inc. is a global semiconductor company. The Company is focused on high-performance computing, graphics and visualization technologies. Its segments include Data Center, Client and Gaming, and Embedded. Data Center segment includes artificial intelligence (AI) accelerators, microprocessors (CPUs) for servers, graphics processing units (GPUs), accelerated processing units (APUs), data processing units (DPUs), Field Programmable Gate Arrays (FPGAs), smart network interface Cards (SmartNICs) and Adaptive system-on-Chip (SoC) products for data centers. Client and Gaming segment includes CPUs, APUs, chipsets for desktops and notebooks, discrete GPUs, and semi-custom SoC products and development services. Embedded segment includes embedded CPUs, GPUs, APUs, FPGAs, system on modules (SOMs), and Adaptive SoC products. It markets and sells its products under the AMD trademark. Its products include AMD EPYC, AMD Ryzen, AMD Ryzen PRO, Virtex UltraScale+, and others.</v>
    <v>28000</v>
    <v>Nasdaq Stock Market</v>
    <v>XNAS</v>
    <v>XNAS</v>
    <v>2485 Augustine Drive, SANTA CLARA, CA, 95054 US</v>
    <v>253.43</v>
    <v>Semiconductors &amp; Semiconductor Equipment</v>
    <v>Stock</v>
    <v>45975.84017039297</v>
    <v>22</v>
    <v>235.1</v>
    <v>405121971280</v>
    <v>ADVANCED MICRO DEVICES, INC.</v>
    <v>ADVANCED MICRO DEVICES, INC.</v>
    <v>240</v>
    <v>129.8476</v>
    <v>247.96</v>
    <v>248.84</v>
    <v>1628042000</v>
    <v>AMD</v>
    <v>ADVANCED MICRO DEVICES, INC. (XNAS:AMD)</v>
    <v>40575777</v>
    <v>62320685</v>
    <v>1969</v>
  </rv>
  <rv s="2">
    <v>23</v>
  </rv>
  <rv s="0">
    <v>https://www.bing.com/financeapi/forcetrigger?t=bvsk7w&amp;q=XNYS%3aPLTR&amp;form=skydnc</v>
    <v>Learn more on Bing</v>
  </rv>
  <rv s="1">
    <v>en-US</v>
    <v>bvsk7w</v>
    <v>268435456</v>
    <v>1</v>
    <v>Powered by Refinitiv</v>
    <v>0</v>
    <v>PALANTIR TECHNOLOGIES INC. (XNAS:PLTR)</v>
    <v>2</v>
    <v>3</v>
    <v>Finance</v>
    <v>4</v>
    <v>207.52</v>
    <v>58.53</v>
    <v>1.5134000000000001</v>
    <v>3.48</v>
    <v>2.0215999999999998E-2</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4414</v>
    <v>Nasdaq Stock Market</v>
    <v>XNAS</v>
    <v>XNAS</v>
    <v>1200 17Th Street, Floor 15, DENVER, CO, 80202 US</v>
    <v>177.29</v>
    <v>Software &amp; IT Services</v>
    <v>Stock</v>
    <v>45975.840148830466</v>
    <v>25</v>
    <v>164.5</v>
    <v>418402532220</v>
    <v>PALANTIR TECHNOLOGIES INC.</v>
    <v>PALANTIR TECHNOLOGIES INC.</v>
    <v>167.05</v>
    <v>410.71089999999998</v>
    <v>172.14</v>
    <v>175.62</v>
    <v>2382431000</v>
    <v>PLTR</v>
    <v>PALANTIR TECHNOLOGIES INC. (XNAS:PLTR)</v>
    <v>54876912</v>
    <v>55682913</v>
    <v>2003</v>
  </rv>
  <rv s="2">
    <v>26</v>
  </rv>
  <rv s="0">
    <v>https://www.bing.com/financeapi/forcetrigger?t=a1qc1h&amp;q=XNYS%3aCRM&amp;form=skydnc</v>
    <v>Learn more on Bing</v>
  </rv>
  <rv s="1">
    <v>en-US</v>
    <v>a1qc1h</v>
    <v>268435456</v>
    <v>1</v>
    <v>Powered by Refinitiv</v>
    <v>0</v>
    <v>SALESFORCE, INC. (XNYS:CRM)</v>
    <v>2</v>
    <v>3</v>
    <v>Finance</v>
    <v>4</v>
    <v>369</v>
    <v>226.48</v>
    <v>1.2536</v>
    <v>3.74</v>
    <v>1.5555000000000001E-2</v>
    <v>USD</v>
    <v>Salesforce, Inc. is a provider of customer relationship management (CRM) technology. The Company helps organizations of any size reimagine their business for the world of artificial intelligence (AI). With Agentforce, its platform, organizations can bring humans together with AI agents to drive customer success on one deeply unified platform. With the Salesforce platform, it delivers a single source of truth, connecting customer data with integrated AI across systems, apps and devices to help companies sell, service, market and conduct commerce from anywhere. Agentforce is a new layer of the Salesforce platform that enables companies to build and deploy AI agents that can respond to inputs, make decisions and take action autonomously across business functions. Agentforce includes a suite of customizable agents for use across sales, service, marketing and commerce. Datablazer is a data-driven innovator, which leverages the Company’s platform to unlock insights and drive decisions.</v>
    <v>76453</v>
    <v>New York Stock Exchange</v>
    <v>XNYS</v>
    <v>XNYS</v>
    <v>SALESFORCE TOWER, 415 MISSION STREET 3RD FL, SAN FRANCISCO, CA, 94105 US</v>
    <v>245.16</v>
    <v>Software &amp; IT Services</v>
    <v>Stock</v>
    <v>45975.840157164064</v>
    <v>28</v>
    <v>237.42</v>
    <v>232449840000</v>
    <v>SALESFORCE, INC.</v>
    <v>SALESFORCE, INC.</v>
    <v>238.27</v>
    <v>35.430100000000003</v>
    <v>240.43</v>
    <v>244.17</v>
    <v>952000000</v>
    <v>CRM</v>
    <v>SALESFORCE, INC. (XNYS:CRM)</v>
    <v>3420345</v>
    <v>8226289</v>
    <v>1999</v>
  </rv>
  <rv s="2">
    <v>29</v>
  </rv>
  <rv s="0">
    <v>https://www.bing.com/financeapi/forcetrigger?t=ao7ia2&amp;q=XLON%3aCSPX&amp;form=skydnc</v>
    <v>Learn more on Bing</v>
  </rv>
  <rv s="6">
    <v>en-US</v>
    <v>ao7ia2</v>
    <v>268435456</v>
    <v>1</v>
    <v>Powered by Refinitiv</v>
    <v>16</v>
    <v>iShs Cr S&amp;P 500 ETF USD A (XLON:CSPX)</v>
    <v>10</v>
    <v>17</v>
    <v>Finance</v>
    <v>18</v>
    <v>863.36</v>
    <v>268.77999999999997</v>
    <v>0.99970000000000003</v>
    <v>-2.8</v>
    <v>-3.8579999999999999E-3</v>
    <v>USD</v>
    <v>London Stock Exchange</v>
    <v>XLON</v>
    <v>7.000000000000001E-4</v>
    <v>723.93</v>
    <v>ETF</v>
    <v>45975.679644062497</v>
    <v>31</v>
    <v>711.56</v>
    <v>135221267082.78999</v>
    <v>iShs Cr S&amp;P 500 ETF USD A</v>
    <v>719.52</v>
    <v>725.71</v>
    <v>722.91</v>
    <v>CSPX</v>
    <v>iShs Cr S&amp;P 500 ETF USD A (XLON:CSPX)</v>
    <v>124724</v>
  </rv>
  <rv s="2">
    <v>32</v>
  </rv>
  <rv s="7">
    <v>en-US</v>
    <v>cdur9c</v>
    <v>268435456</v>
    <v>1</v>
    <v>Powered by Refinitiv</v>
    <v>19</v>
    <v>SHOPIFY INC. (NEOE:SHOP)</v>
    <v>14</v>
    <v>20</v>
    <v>Finance</v>
    <v>21</v>
    <v>253</v>
    <v>99.56</v>
    <v>2.8462999999999998</v>
    <v>1.19</v>
    <v>5.7940000000000005E-3</v>
    <v>CAD</v>
    <v>Shopify Inc. (Shopify) is a Canada-based global commerce company. The Company provides essential Internet infrastructure for commerce, offering tools to start, grow, market and manage a retail business of any size. It provides platforms and services that are engineered and delivers a shopping experience for consumers online, in store and everywhere in between. Its software enables merchants to run their business across all of their sales channels, including Web and mobile storefronts, physical retail locations, social media storefronts, and marketplaces. The Company's Shopify platform provides merchants with a single view of their business across all of their sales channels and enables them to manage products and inventory, process orders and payments, fulfill and ship orders, build customer relationships, source products, leverage analytics and reporting, and access financing, all from one integrated back office. The Shopify's platform operates across 175 countries.</v>
    <v>8100</v>
    <v>NEO Exchange</v>
    <v>NEOE</v>
    <v>NEOE</v>
    <v>151 O'connor Street, Ground Floor, OTTAWA, ON, K2P 2L8 CA</v>
    <v>209.78</v>
    <v>Software &amp; IT Services</v>
    <v>Stock</v>
    <v>45975.839953529685</v>
    <v>198.43</v>
    <v>190511700000</v>
    <v>SHOPIFY INC.</v>
    <v>SHOPIFY INC.</v>
    <v>199.37</v>
    <v>205.4</v>
    <v>206.59</v>
    <v>1301843000</v>
    <v>SHOP</v>
    <v>SHOPIFY INC. (NEOE:SHOP)</v>
    <v>55909</v>
    <v>10458740</v>
    <v>2004</v>
  </rv>
  <rv s="2">
    <v>34</v>
  </rv>
  <rv s="0">
    <v>https://www.bing.com/financeapi/forcetrigger?t=a24kjc&amp;q=XNYS%3aTSM&amp;form=skydnc</v>
    <v>Learn more on Bing</v>
  </rv>
  <rv s="1">
    <v>en-US</v>
    <v>a24kjc</v>
    <v>268435456</v>
    <v>1</v>
    <v>Powered by Refinitiv</v>
    <v>0</v>
    <v>Taiwan Semiconductor Manufacturing Co., Ltd. (XNYS:TSM)</v>
    <v>2</v>
    <v>3</v>
    <v>Finance</v>
    <v>4</v>
    <v>311.36849999999998</v>
    <v>134.25</v>
    <v>1.3194999999999999</v>
    <v>2.31</v>
    <v>8.1860000000000006E-3</v>
    <v>USD</v>
    <v>Taiwan Semiconductor Manufacturing Co Ltd is a Taiwan-based company mainly engaged in the provision of integrated circuit manufacturing services. The integrated circuit manufacturing services include process technology, special process technology, design ecosystem support, mask technology, 3DFabricTM advanced packaging and silicon stacking technology services. The Company has completed the transfer and mass production of 5nm technology, and is engaged in the research and development of 3nm process technology and 2nm process technology. The product application range covers the entire electronic application industry, including personal computers and peripheral products, information application products, wired and wireless communication system products, servers and data centers.</v>
    <v>52045</v>
    <v>New York Stock Exchange</v>
    <v>XNYS</v>
    <v>XNYS</v>
    <v>No.8, Li-Hsin 6th Road, Hsinchu Science Park, HSINCHU, HSINCHU, 300 TW</v>
    <v>286.86</v>
    <v>Semiconductors &amp; Semiconductor Equipment</v>
    <v>Stock</v>
    <v>45975.840146851566</v>
    <v>36</v>
    <v>273.23</v>
    <v>1218826000000</v>
    <v>Taiwan Semiconductor Manufacturing Co., Ltd.</v>
    <v>Taiwan Semiconductor Manufacturing Co., Ltd.</v>
    <v>275.95999999999998</v>
    <v>28.310600000000001</v>
    <v>282.2</v>
    <v>284.51</v>
    <v>5186523000</v>
    <v>TSM</v>
    <v>Taiwan Semiconductor Manufacturing Co., Ltd. (XNYS:TSM)</v>
    <v>9637455</v>
    <v>14537657</v>
    <v>1987</v>
  </rv>
  <rv s="2">
    <v>37</v>
  </rv>
  <rv s="8">
    <v>en-US</v>
    <v>ce7s2w</v>
    <v>268435456</v>
    <v>1</v>
    <v>Powered by Refinitiv</v>
    <v>22</v>
    <v>Grayscale Ethereum Mini (ARCX:ETH)</v>
    <v>6</v>
    <v>23</v>
    <v>Finance</v>
    <v>12</v>
    <v>45.784999999999997</v>
    <v>13.685</v>
    <v>0.32</v>
    <v>1.0735E-2</v>
    <v>USD</v>
    <v>NYSE Arca</v>
    <v>ARCX</v>
    <v>1.5E-3</v>
    <v>30.68</v>
    <v>ETF</v>
    <v>45975.840132430472</v>
    <v>29.28</v>
    <v>2868128713.5300002</v>
    <v>Grayscale Ethereum Mini</v>
    <v>29.5</v>
    <v>29.81</v>
    <v>30.13</v>
    <v>ETH</v>
    <v>Grayscale Ethereum Mini (ARCX:ETH)</v>
    <v>6158909</v>
    <v>7096184</v>
  </rv>
  <rv s="2">
    <v>39</v>
  </rv>
  <rv s="0">
    <v>https://www.bing.com/financeapi/forcetrigger?t=a1u3rw&amp;q=XNAS%3aGOOGL&amp;form=skydnc</v>
    <v>Learn more on Bing</v>
  </rv>
  <rv s="1">
    <v>en-US</v>
    <v>a1u3rw</v>
    <v>268435456</v>
    <v>1</v>
    <v>Powered by Refinitiv</v>
    <v>0</v>
    <v>ALPHABET INC. (XNAS:GOOGL)</v>
    <v>2</v>
    <v>3</v>
    <v>Finance</v>
    <v>4</v>
    <v>292.005</v>
    <v>140.53</v>
    <v>1.0826</v>
    <v>-1.1499999999999999</v>
    <v>-4.1279999999999997E-3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190167</v>
    <v>Nasdaq Stock Market</v>
    <v>XNAS</v>
    <v>XNAS</v>
    <v>1600 Amphitheatre Parkway, MOUNTAIN VIEW, CA, 94043 US</v>
    <v>278.56</v>
    <v>Software &amp; IT Services</v>
    <v>Stock</v>
    <v>45975.840150462966</v>
    <v>41</v>
    <v>270.7</v>
    <v>3364478000000</v>
    <v>ALPHABET INC.</v>
    <v>ALPHABET INC.</v>
    <v>271.66000000000003</v>
    <v>27.3565</v>
    <v>278.57</v>
    <v>277.42</v>
    <v>12067000000</v>
    <v>GOOGL</v>
    <v>ALPHABET INC. (XNAS:GOOGL)</v>
    <v>22932150</v>
    <v>32286436</v>
    <v>2015</v>
  </rv>
  <rv s="2">
    <v>42</v>
  </rv>
  <rv s="0">
    <v>https://www.bing.com/financeapi/forcetrigger?t=a1mou2&amp;q=XNAS%3aAAPL&amp;form=skydnc</v>
    <v>Learn more on Bing</v>
  </rv>
  <rv s="1">
    <v>en-US</v>
    <v>a1mou2</v>
    <v>268435456</v>
    <v>1</v>
    <v>Powered by Refinitiv</v>
    <v>0</v>
    <v>APPLE INC. (XNAS:AAPL)</v>
    <v>2</v>
    <v>3</v>
    <v>Finance</v>
    <v>4</v>
    <v>277.32</v>
    <v>169.21010000000001</v>
    <v>1.1035999999999999</v>
    <v>0.88</v>
    <v>3.2240000000000003E-3</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166000</v>
    <v>Nasdaq Stock Market</v>
    <v>XNAS</v>
    <v>XNAS</v>
    <v>One Apple Park Way, CUPERTINO, CA, 95014 US</v>
    <v>275.95830000000001</v>
    <v>Computers, Phones &amp; Household Electronics</v>
    <v>Stock</v>
    <v>45975.84016888828</v>
    <v>44</v>
    <v>269.60000000000002</v>
    <v>4046207920500</v>
    <v>APPLE INC.</v>
    <v>APPLE INC.</v>
    <v>271.06</v>
    <v>36.871499999999997</v>
    <v>272.95</v>
    <v>273.83</v>
    <v>14776350000</v>
    <v>AAPL</v>
    <v>APPLE INC. (XNAS:AAPL)</v>
    <v>31920878</v>
    <v>49332368</v>
    <v>1977</v>
  </rv>
  <rv s="2">
    <v>45</v>
  </rv>
  <rv s="0">
    <v>https://www.bing.com/financeapi/forcetrigger?t=a1yv52&amp;q=XNAS%3aNVDA&amp;form=skydnc</v>
    <v>Learn more on Bing</v>
  </rv>
  <rv s="1">
    <v>en-US</v>
    <v>a1yv52</v>
    <v>268435456</v>
    <v>1</v>
    <v>Powered by Refinitiv</v>
    <v>0</v>
    <v>NVIDIA CORPORATION (XNAS:NVDA)</v>
    <v>2</v>
    <v>3</v>
    <v>Finance</v>
    <v>4</v>
    <v>212.18989999999999</v>
    <v>86.62</v>
    <v>2.2854999999999999</v>
    <v>3.2755000000000001</v>
    <v>1.7528999999999999E-2</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191.01</v>
    <v>Semiconductors &amp; Semiconductor Equipment</v>
    <v>Stock</v>
    <v>45975.840157488281</v>
    <v>47</v>
    <v>180.58</v>
    <v>4620292650000</v>
    <v>NVIDIA CORPORATION</v>
    <v>NVIDIA CORPORATION</v>
    <v>182.92</v>
    <v>54.115699999999997</v>
    <v>186.86</v>
    <v>190.13550000000001</v>
    <v>24300000000</v>
    <v>NVDA</v>
    <v>NVIDIA CORPORATION (XNAS:NVDA)</v>
    <v>149186272</v>
    <v>189523407</v>
    <v>1998</v>
  </rv>
  <rv s="2">
    <v>48</v>
  </rv>
  <rv s="0">
    <v>https://www.bing.com/financeapi/forcetrigger?t=a23hqh&amp;q=ARCX%3aSPY&amp;form=skydnc</v>
    <v>Learn more on Bing</v>
  </rv>
  <rv s="4">
    <v>en-US</v>
    <v>a23hqh</v>
    <v>268435456</v>
    <v>1</v>
    <v>Powered by Refinitiv</v>
    <v>9</v>
    <v>SPDR S&amp;P 500 (ARCX:SPY)</v>
    <v>10</v>
    <v>11</v>
    <v>Finance</v>
    <v>12</v>
    <v>689.7</v>
    <v>481.8</v>
    <v>0.99819999999999998</v>
    <v>1.9797</v>
    <v>2.9459999999999998E-3</v>
    <v>USD</v>
    <v>NYSE Arca</v>
    <v>ARCX</v>
    <v>9.4499999999999998E-4</v>
    <v>675.66</v>
    <v>ETF</v>
    <v>45975.840176041405</v>
    <v>50</v>
    <v>663.26499999999999</v>
    <v>693048335323.96997</v>
    <v>SPDR S&amp;P 500</v>
    <v>665.34</v>
    <v>672.04</v>
    <v>674.01969999999994</v>
    <v>SPY</v>
    <v>SPDR S&amp;P 500 (ARCX:SPY)</v>
    <v>76273498</v>
    <v>80963017</v>
  </rv>
  <rv s="2">
    <v>51</v>
  </rv>
  <rv s="0">
    <v>https://www.bing.com/financeapi/forcetrigger?t=a1ntlh&amp;q=XNAS%3aASML&amp;form=skydnc</v>
    <v>Learn more on Bing</v>
  </rv>
  <rv s="1">
    <v>en-US</v>
    <v>a1ntlh</v>
    <v>268435456</v>
    <v>1</v>
    <v>Powered by Refinitiv</v>
    <v>0</v>
    <v>ASML Holding NV (XNAS:ASML)</v>
    <v>2</v>
    <v>3</v>
    <v>Finance</v>
    <v>4</v>
    <v>1086.1099999999999</v>
    <v>578.51</v>
    <v>1.8747</v>
    <v>-13.71</v>
    <v>-1.3443E-2</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43461</v>
    <v>Nasdaq Stock Market</v>
    <v>XNAS</v>
    <v>XNAS</v>
    <v>De Run 6501, VELDHOVEN, NOORD-BRABANT, 5504 DR NL</v>
    <v>1018.07</v>
    <v>Semiconductors &amp; Semiconductor Equipment</v>
    <v>Stock</v>
    <v>45975.840137696097</v>
    <v>53</v>
    <v>981</v>
    <v>396624600000</v>
    <v>ASML Holding NV</v>
    <v>ASML Holding NV</v>
    <v>989.4</v>
    <v>35.5017</v>
    <v>1019.86</v>
    <v>1006.15</v>
    <v>388147700</v>
    <v>ASML</v>
    <v>ASML Holding NV (XNAS:ASML)</v>
    <v>1023634</v>
    <v>1491828</v>
    <v>1994</v>
  </rv>
  <rv s="2">
    <v>54</v>
  </rv>
  <rv s="0">
    <v>https://www.bing.com/financeapi/forcetrigger?t=a2x73m&amp;q=XNYS%3aSLI&amp;form=skydnc</v>
    <v>Learn more on Bing</v>
  </rv>
  <rv s="9">
    <v>en-US</v>
    <v>a2x73m</v>
    <v>268435456</v>
    <v>1</v>
    <v>Powered by Refinitiv</v>
    <v>24</v>
    <v>Standard Lithium Ltd (XNYS:SLI)</v>
    <v>2</v>
    <v>25</v>
    <v>Finance</v>
    <v>4</v>
    <v>6.4</v>
    <v>1.08</v>
    <v>1.9001999999999999</v>
    <v>1.37E-2</v>
    <v>4.3080000000000002E-3</v>
    <v>USD</v>
    <v>Standard Lithium Ltd. is a Canada-based near-commercial lithium development company. It is focused on the sustainable development of a portfolio of lithium-brine bearing properties in the United States. Its projects, the Lanxess 1A Project, East Texas Properties, Other Projects, and the South West Arkansas Project, are located on the Smackover Formation in southern Arkansas, a region with a longstanding and established brine processing industry. It has also identified a number of highly prospective lithium brine project areas in the Smackover Formation in East Texas and began a brine leasing program in the key project areas. The Lanxess 1A Project is a brownfield project being developed in cooperation with LANXESS Corp. The resource development project in southwest Arkansas (the South West Arkansas Project) is being developed in partnership with Equinor ASA. In addition, it also has an interest in certain mineral leases located in the Mojave Desert in San Bernardino County, California.</v>
    <v>0</v>
    <v>New York Stock Exchange</v>
    <v>XNYS</v>
    <v>XNYS</v>
    <v>1625 - 1075 West Georgia Street, VANCOUVER, BC, V6E 3C9 CA</v>
    <v>3.23</v>
    <v>Metals &amp; Mining</v>
    <v>Stock</v>
    <v>45975.839997742965</v>
    <v>56</v>
    <v>2.91</v>
    <v>1050802000</v>
    <v>Standard Lithium Ltd</v>
    <v>Standard Lithium Ltd</v>
    <v>2.93</v>
    <v>3.18</v>
    <v>3.1937000000000002</v>
    <v>238277000</v>
    <v>SLI</v>
    <v>Standard Lithium Ltd (XNYS:SLI)</v>
    <v>2292976</v>
    <v>6959966</v>
    <v>2021</v>
  </rv>
  <rv s="2">
    <v>57</v>
  </rv>
  <rv s="0">
    <v>https://www.bing.com/financeapi/forcetrigger?t=c27jhw&amp;q=XNAS%3aMNDY&amp;form=skydnc</v>
    <v>Learn more on Bing</v>
  </rv>
  <rv s="1">
    <v>en-US</v>
    <v>c27jhw</v>
    <v>268435456</v>
    <v>1</v>
    <v>Powered by Refinitiv</v>
    <v>0</v>
    <v>MONDAY.COM LTD (XNAS:MNDY)</v>
    <v>2</v>
    <v>3</v>
    <v>Finance</v>
    <v>4</v>
    <v>342.64</v>
    <v>151</v>
    <v>1.2795000000000001</v>
    <v>0.11</v>
    <v>6.8490000000000001E-4</v>
    <v>USD</v>
    <v>Monday.Com Ltd is an Israel-based company engaged primarily in the software sector. The Company provides cloud-based platform that enables its users to create custom applications and project management software. The platform offers a Work Operating System (Work OS) that provides modular building blocks to create software applications and work management tools. This system is designed to enhance team collaboration and streamline workflows across various business functions, including project management, CRM, marketing, and more. The Company has teams in Tel Aviv, New York, San Francisco, Miami, Chicago, London, Kiev, and Sydney. The Company customize its platform to suit any business vertical and serves customers worldwide.</v>
    <v>2508</v>
    <v>Nasdaq Stock Market</v>
    <v>XNAS</v>
    <v>XNAS</v>
    <v>6 Yitzhak Sadeh Street, TEL AVIV-YAFO, 677750 IL</v>
    <v>164.16</v>
    <v>Software &amp; IT Services</v>
    <v>Stock</v>
    <v>45975.840164224217</v>
    <v>59</v>
    <v>156.35</v>
    <v>8285350651</v>
    <v>MONDAY.COM LTD</v>
    <v>MONDAY.COM LTD</v>
    <v>157.11000000000001</v>
    <v>131.02889999999999</v>
    <v>160.61000000000001</v>
    <v>160.72</v>
    <v>51551460</v>
    <v>MNDY</v>
    <v>MONDAY.COM LTD (XNAS:MNDY)</v>
    <v>1285749</v>
    <v>1192595</v>
    <v>2012</v>
  </rv>
  <rv s="2">
    <v>60</v>
  </rv>
  <rv s="0">
    <v>https://www.bing.com/financeapi/forcetrigger?t=a2aiur&amp;q=OTCM%3aBRPHF&amp;form=skydnc</v>
    <v>Learn more on Bing</v>
  </rv>
  <rv s="1">
    <v>en-US</v>
    <v>a2aiur</v>
    <v>268435456</v>
    <v>1</v>
    <v>Powered by Refinitiv</v>
    <v>0</v>
    <v>GALAXY DIGITAL INC. (XNAS:GLXY)</v>
    <v>2</v>
    <v>3</v>
    <v>Finance</v>
    <v>4</v>
    <v>45.92</v>
    <v>8.1999999999999993</v>
    <v>4.0103999999999997</v>
    <v>-0.53820000000000001</v>
    <v>-1.9758000000000001E-2</v>
    <v>USD</v>
    <v>Galaxy Digital Inc. is engaged in the business of digital assets and data center infrastructure, delivering solutions that accelerate progress in finance and artificial intelligence (AI). The Company's digital assets platform offers institutional access to trading, advisory, asset management, staking, self-custody, and tokenization technology. In addition, it develops and operates data center infrastructure to power AI and high-performance computing workloads. The Company's segments include Digital Assets, Data Centers, and Treasury and Corporate. Its Digital Assets operating business segment provides new products and capabilities such as staking, margin-based financing and active exchange-traded funds. The Data Centers segment comprises the Helios infrastructure assets. Its Data Centers segment develops and operates High Performance Computing (HPC) infrastructure to meet the growing demand for large-scale, power-ready facilities in the AI/HPC industry.</v>
    <v>520</v>
    <v>Nasdaq Stock Market</v>
    <v>XNAS</v>
    <v>XNAS</v>
    <v>300 Vesey Street, 13Th Floor, NEW YORK, NY, 10282 US</v>
    <v>27.95</v>
    <v>Investment Banking &amp; Investment Services</v>
    <v>Stock</v>
    <v>45975.840159976564</v>
    <v>62</v>
    <v>25.07</v>
    <v>10640230000</v>
    <v>GALAXY DIGITAL INC.</v>
    <v>GALAXY DIGITAL INC.</v>
    <v>25.13</v>
    <v>0</v>
    <v>27.24</v>
    <v>26.701799999999999</v>
    <v>390610300</v>
    <v>GLXY</v>
    <v>GALAXY DIGITAL INC. (XNAS:GLXY)</v>
    <v>8136058</v>
    <v>10107374</v>
    <v>2021</v>
  </rv>
  <rv s="2">
    <v>63</v>
  </rv>
  <rv s="0">
    <v>https://www.bing.com/financeapi/forcetrigger?t=a24xlh&amp;q=XNYS%3aUNH&amp;form=skydnc</v>
    <v>Learn more on Bing</v>
  </rv>
  <rv s="1">
    <v>en-US</v>
    <v>a24xlh</v>
    <v>268435456</v>
    <v>1</v>
    <v>Powered by Refinitiv</v>
    <v>0</v>
    <v>UNITEDHEALTH GROUP INCORPORATED (XNYS:UNH)</v>
    <v>2</v>
    <v>3</v>
    <v>Finance</v>
    <v>4</v>
    <v>622.83000000000004</v>
    <v>234.6</v>
    <v>0.43359999999999999</v>
    <v>-9.44</v>
    <v>-2.8389000000000001E-2</v>
    <v>USD</v>
    <v>UnitedHealth Group Incorporated is a healthcare and well-being company. Its segments include Optum Health, Optum Insight, Optum Rx, and UnitedHealthcare, which includes UnitedHealthcare Employer &amp; Individual, UnitedHealthcare Medicare &amp; Retirement and UnitedHealthcare Community &amp; State. Optum Health offers comprehensive and patient-centered care, addressing the physical, mental, social, and financial well-being. Optum Health delivers primary, specialty and surgical care; helps patients and providers navigate and address complex, chronic and behavioral health needs. Optum Insight connects the healthcare system with services, analytics and platforms that make clinical, administrative and financial processes simpler and more efficient for all participants in the healthcare system. Optum Rx offers a range of pharmacy care services through retail pharmacies, through home delivery, specialty and community health pharmacies and the provision of in-home and community-based infusion services.</v>
    <v>400000</v>
    <v>New York Stock Exchange</v>
    <v>XNYS</v>
    <v>XNYS</v>
    <v>1 HEALTH DRIVE, EDEN PRAIRIE, MN, 55344 US</v>
    <v>328.21210000000002</v>
    <v>Healthcare Providers &amp; Services</v>
    <v>Stock</v>
    <v>45975.84017755781</v>
    <v>65</v>
    <v>320.81</v>
    <v>292658334888</v>
    <v>UNITEDHEALTH GROUP INCORPORATED</v>
    <v>UNITEDHEALTH GROUP INCORPORATED</v>
    <v>326.995</v>
    <v>16.854500000000002</v>
    <v>332.52</v>
    <v>323.08</v>
    <v>905838600</v>
    <v>UNH</v>
    <v>UNITEDHEALTH GROUP INCORPORATED (XNYS:UNH)</v>
    <v>5977472</v>
    <v>8743454</v>
    <v>2015</v>
  </rv>
  <rv s="2">
    <v>66</v>
  </rv>
  <rv s="0">
    <v>https://www.bing.com/financeapi/forcetrigger?t=c1dbvh&amp;q=XNYS%3aPATH&amp;form=skydnc</v>
    <v>Learn more on Bing</v>
  </rv>
  <rv s="1">
    <v>en-US</v>
    <v>c1dbvh</v>
    <v>268435456</v>
    <v>1</v>
    <v>Powered by Refinitiv</v>
    <v>0</v>
    <v>UIPATH, INC. (XNYS:PATH)</v>
    <v>2</v>
    <v>3</v>
    <v>Finance</v>
    <v>4</v>
    <v>18.739999999999998</v>
    <v>9.3800000000000008</v>
    <v>1.1071</v>
    <v>1.4999999999999999E-2</v>
    <v>1.065E-3</v>
    <v>USD</v>
    <v>UiPath, Inc. is an enterprise automation and artificial intelligence (AI) software company. The Company is focused on building and managing automations, starting with computer vision technology and user interface automations in its initial robotic process automation (RPA) offering. Its AI-powered UiPath Platform offers a robust set of capabilities that allows its customers to discover opportunities for automation, automate using a digital workforce that seamlessly collaborates with humans, and operate a mission critical automation program at scale. It enables employees to quickly build automations for both existing and new processes and to automate an array of actions, including logging into applications, extracting information from documents, moving folders, filling in forms, reading emails, and updating information fields and databases. Its platform allows users to design and combine UI automations, API integrations, and AI-based document understanding in a single workflow.</v>
    <v>3868</v>
    <v>New York Stock Exchange</v>
    <v>XNYS</v>
    <v>XNYS</v>
    <v>One Vanderbilt Avenue, 60th Floor, NEW YORK, NY, 10017 US</v>
    <v>14.385</v>
    <v>Software &amp; IT Services</v>
    <v>Stock</v>
    <v>45975.840163344532</v>
    <v>68</v>
    <v>13.48</v>
    <v>7490061078</v>
    <v>UIPATH, INC.</v>
    <v>UIPATH, INC.</v>
    <v>13.5</v>
    <v>470.16669999999999</v>
    <v>14.09</v>
    <v>14.105</v>
    <v>531021700</v>
    <v>PATH</v>
    <v>UIPATH, INC. (XNYS:PATH)</v>
    <v>11034450</v>
    <v>25268686</v>
    <v>2015</v>
  </rv>
  <rv s="2">
    <v>69</v>
  </rv>
</rvData>
</file>

<file path=xl/richData/rdrichvaluestructure.xml><?xml version="1.0" encoding="utf-8"?>
<rvStructures xmlns="http://schemas.microsoft.com/office/spreadsheetml/2017/richdata" count="10">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8">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ExchangeID</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40">
      <v t="s">%EntityServiceId</v>
      <v t="s">_Format</v>
      <v t="s">%IsRefreshable</v>
      <v t="s">%EntityCulture</v>
      <v t="s">%EntityId</v>
      <v t="s">_Icon</v>
      <v t="s">_Display</v>
      <v t="s">Name</v>
      <v t="s">Price</v>
      <v t="s">Exchange</v>
      <v t="s">Official name</v>
      <v t="s">_SubLabel</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Instrument type</v>
      <v t="s">_Flags</v>
      <v t="s">UniqueName</v>
      <v t="s">_DisplayString</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26">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5">
      <v>1</v>
      <v>Name</v>
    </spb>
    <spb s="6">
      <v>1</v>
      <v>1</v>
    </spb>
    <spb s="7">
      <v>10</v>
      <v>10</v>
      <v>3</v>
      <v>10</v>
      <v>10</v>
      <v>10</v>
      <v>5</v>
      <v>10</v>
      <v>10</v>
      <v>10</v>
      <v>7</v>
      <v>9</v>
    </spb>
    <spb s="8">
      <v>GMT</v>
    </spb>
    <spb s="0">
      <v>2</v>
      <v>Name</v>
      <v>LearnMoreOnLink</v>
    </spb>
    <spb s="9">
      <v>1</v>
      <v>1</v>
      <v>1</v>
    </spb>
    <spb s="10">
      <v>1</v>
      <v>2</v>
      <v>1</v>
      <v>3</v>
      <v>1</v>
      <v>1</v>
      <v>1</v>
      <v>4</v>
      <v>5</v>
      <v>6</v>
      <v>1</v>
      <v>1</v>
      <v>5</v>
      <v>1</v>
      <v>4</v>
      <v>7</v>
      <v>9</v>
    </spb>
    <spb s="11">
      <v>Real-Time Nasdaq Last Sale</v>
      <v>from previous close</v>
      <v>Source: Nasdaq Last Sale</v>
      <v>from previous close</v>
      <v>GMT</v>
    </spb>
    <spb s="5">
      <v>3</v>
      <v>Name</v>
    </spb>
    <spb s="12">
      <v>1</v>
      <v>1</v>
      <v>1</v>
    </spb>
    <spb s="13">
      <v>1</v>
      <v>2</v>
      <v>2</v>
      <v>1</v>
      <v>3</v>
      <v>1</v>
      <v>1</v>
      <v>1</v>
      <v>4</v>
      <v>5</v>
      <v>6</v>
      <v>1</v>
      <v>1</v>
      <v>1</v>
      <v>4</v>
      <v>7</v>
      <v>8</v>
      <v>9</v>
      <v>4</v>
    </spb>
    <spb s="0">
      <v>4</v>
      <v>Name</v>
      <v>LearnMoreOnLink</v>
    </spb>
    <spb s="14">
      <v>1</v>
      <v>2</v>
      <v>1</v>
      <v>3</v>
      <v>1</v>
      <v>1</v>
      <v>1</v>
      <v>4</v>
      <v>5</v>
      <v>6</v>
      <v>1</v>
      <v>1</v>
      <v>5</v>
      <v>1</v>
      <v>7</v>
      <v>9</v>
    </spb>
    <spb s="11">
      <v>Delayed 15 minutes</v>
      <v>from previous close</v>
      <v>LSE</v>
      <v>from previous close</v>
      <v>GMT</v>
    </spb>
    <spb s="5">
      <v>5</v>
      <v>Name</v>
    </spb>
    <spb s="15">
      <v>11</v>
      <v>2</v>
      <v>11</v>
      <v>3</v>
      <v>11</v>
      <v>11</v>
      <v>11</v>
      <v>4</v>
      <v>4</v>
      <v>5</v>
      <v>6</v>
      <v>11</v>
      <v>11</v>
      <v>11</v>
      <v>4</v>
      <v>7</v>
      <v>8</v>
      <v>9</v>
      <v>4</v>
    </spb>
    <spb s="16">
      <v>from previous close</v>
      <v>from previous close</v>
      <v>GMT</v>
    </spb>
    <spb s="5">
      <v>6</v>
      <v>Name</v>
    </spb>
    <spb s="17">
      <v>1</v>
      <v>1</v>
      <v>3</v>
      <v>1</v>
      <v>1</v>
      <v>1</v>
      <v>4</v>
      <v>5</v>
      <v>6</v>
      <v>1</v>
      <v>1</v>
      <v>5</v>
      <v>1</v>
      <v>4</v>
      <v>7</v>
      <v>9</v>
    </spb>
    <spb s="0">
      <v>7</v>
      <v>Name</v>
      <v>LearnMoreOnLink</v>
    </spb>
    <spb s="15">
      <v>1</v>
      <v>2</v>
      <v>1</v>
      <v>3</v>
      <v>1</v>
      <v>1</v>
      <v>1</v>
      <v>4</v>
      <v>4</v>
      <v>5</v>
      <v>12</v>
      <v>1</v>
      <v>1</v>
      <v>1</v>
      <v>4</v>
      <v>7</v>
      <v>8</v>
      <v>9</v>
      <v>4</v>
    </spb>
  </spbData>
</supportingPropertyBags>
</file>

<file path=xl/richData/rdsupportingpropertybagstructure.xml><?xml version="1.0" encoding="utf-8"?>
<spbStructures xmlns="http://schemas.microsoft.com/office/spreadsheetml/2017/richdata2" count="1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ExchangeID" t="spb"/>
    <k n="UniqueName" t="spb"/>
    <k n="`%ProviderInfo" t="spb"/>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Beta" t="i"/>
    <k n="High" t="i"/>
    <k n="Name" t="i"/>
    <k n="Open" t="i"/>
    <k n="Price" t="i"/>
    <k n="Change" t="i"/>
    <k n="Volume" t="i"/>
    <k n="Change (%)" t="i"/>
    <k n="Market cap" t="i"/>
    <k n="52 week low" t="i"/>
    <k n="52 week high" t="i"/>
    <k n="Expense ratio" t="i"/>
    <k n="Previous close" t="i"/>
    <k n="Last trade time" t="i"/>
    <k n="`%EntityServiceId" t="i"/>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Change" t="s"/>
    <k n="Change (%)" t="s"/>
    <k n="Last trade time" t="s"/>
  </s>
  <s>
    <k n="Low" t="i"/>
    <k n="High" t="i"/>
    <k n="Name" t="i"/>
    <k n="Open" t="i"/>
    <k n="Price" t="i"/>
    <k n="Change" t="i"/>
    <k n="Volume" t="i"/>
    <k n="Change (%)" t="i"/>
    <k n="Market cap" t="i"/>
    <k n="52 week low" t="i"/>
    <k n="52 week high" t="i"/>
    <k n="Expense ratio" t="i"/>
    <k n="Previous close" t="i"/>
    <k n="Volume average" t="i"/>
    <k n="Last trade time" t="i"/>
    <k n="`%EntityServiceId"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1">
      <rpv i="0" xml:space="preserve">_ [$₪-he-IL] * #,##0.00_ ;_ [$₪-he-IL] * -#,##0.00_ ;_ [$₪-he-IL] * "-"??_ ;_ @_ </rpv>
    </rSty>
    <rSty dxfid="1">
      <rpv i="0">_-[$$-en-CA]* #,##0.00_-;-[$$-en-CA]* #,##0.00_-;_-[$$-en-CA]* "-"??_-;_-@_-</rpv>
    </rSty>
    <rSty dxfid="1">
      <rpv i="0">_-[$$-en-CA]* #,##0_-;-[$$-en-CA]* #,##0_-;_-[$$-en-CA]* "-"_-;_-@_-</rpv>
    </rSty>
  </richStyles>
</richStyleSheet>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2ABD-03F4-4D79-9D70-0BAF17F2DAAE}">
  <dimension ref="A1:W45"/>
  <sheetViews>
    <sheetView tabSelected="1" topLeftCell="D1" zoomScaleNormal="100" workbookViewId="0">
      <selection activeCell="J7" sqref="J7"/>
    </sheetView>
  </sheetViews>
  <sheetFormatPr defaultRowHeight="13.8" x14ac:dyDescent="0.25"/>
  <cols>
    <col min="2" max="2" width="6.19921875" bestFit="1" customWidth="1"/>
    <col min="3" max="3" width="12.19921875" bestFit="1" customWidth="1"/>
    <col min="4" max="4" width="15.09765625" bestFit="1" customWidth="1"/>
    <col min="5" max="5" width="11.3984375" bestFit="1" customWidth="1"/>
    <col min="6" max="6" width="6.8984375" bestFit="1" customWidth="1"/>
    <col min="7" max="7" width="3.59765625" customWidth="1"/>
    <col min="8" max="8" width="13" style="14" bestFit="1" customWidth="1"/>
    <col min="9" max="9" width="11.69921875" bestFit="1" customWidth="1"/>
    <col min="10" max="10" width="10" bestFit="1" customWidth="1"/>
    <col min="11" max="12" width="11.296875" bestFit="1" customWidth="1"/>
    <col min="13" max="13" width="14.09765625" bestFit="1" customWidth="1"/>
    <col min="14" max="14" width="8.09765625" hidden="1" customWidth="1"/>
    <col min="15" max="15" width="15.3984375" bestFit="1" customWidth="1"/>
    <col min="16" max="16" width="13" bestFit="1" customWidth="1"/>
    <col min="17" max="17" width="12.19921875" bestFit="1" customWidth="1"/>
    <col min="18" max="18" width="13" customWidth="1"/>
    <col min="19" max="19" width="13.8984375" bestFit="1" customWidth="1"/>
    <col min="20" max="20" width="10.19921875" customWidth="1"/>
    <col min="21" max="21" width="3.19921875" bestFit="1" customWidth="1"/>
  </cols>
  <sheetData>
    <row r="1" spans="1:23" ht="16.2" thickBot="1" x14ac:dyDescent="0.4">
      <c r="A1" s="27"/>
      <c r="B1" s="27"/>
      <c r="C1" s="27"/>
      <c r="D1" s="27"/>
      <c r="E1" s="27"/>
      <c r="F1" s="27"/>
      <c r="G1" s="27"/>
      <c r="H1" s="26"/>
      <c r="I1" s="27"/>
      <c r="J1" s="27"/>
      <c r="K1" s="27"/>
      <c r="L1" s="57" t="s">
        <v>12</v>
      </c>
      <c r="M1" s="58"/>
      <c r="N1" s="31"/>
      <c r="O1" s="31"/>
      <c r="P1" s="57" t="s">
        <v>11</v>
      </c>
      <c r="Q1" s="58"/>
      <c r="R1" s="31"/>
      <c r="S1" s="95" t="s">
        <v>13</v>
      </c>
      <c r="T1" s="95"/>
      <c r="U1" s="95"/>
      <c r="V1" s="27"/>
      <c r="W1" s="27"/>
    </row>
    <row r="2" spans="1:23" ht="16.2" thickBot="1" x14ac:dyDescent="0.4">
      <c r="A2" s="27"/>
      <c r="B2" s="27"/>
      <c r="C2" s="27"/>
      <c r="D2" s="27"/>
      <c r="E2" s="27"/>
      <c r="F2" s="27"/>
      <c r="G2" s="31" t="e" vm="1">
        <v>#VALUE!</v>
      </c>
      <c r="H2" s="26"/>
      <c r="I2" s="27"/>
      <c r="J2" s="27"/>
      <c r="K2" s="27"/>
      <c r="L2" s="4" cm="1">
        <f t="array" aca="1" ref="L2" ca="1">_FV(O2,"Change")</f>
        <v>3.2000000000000002E-3</v>
      </c>
      <c r="M2" s="15" cm="1">
        <f t="array" aca="1" ref="M2" ca="1">_FV(O2,"Price")</f>
        <v>3.2273000000000001</v>
      </c>
      <c r="O2" s="32" t="e" vm="2">
        <v>#VALUE!</v>
      </c>
      <c r="P2" s="8" cm="1">
        <f t="array" aca="1" ref="P2" ca="1">_FV(R2,"Change (%)",TRUE)</f>
        <v>-2.8103E-2</v>
      </c>
      <c r="Q2" s="6" cm="1">
        <f t="array" aca="1" ref="Q2" ca="1">_FV(R2,"Price")</f>
        <v>33.200000000000003</v>
      </c>
      <c r="R2" s="32" t="e" vm="3">
        <v>#VALUE!</v>
      </c>
      <c r="S2" s="96">
        <v>78000</v>
      </c>
      <c r="T2" s="97" t="s">
        <v>14</v>
      </c>
      <c r="U2" s="97"/>
      <c r="V2" s="27"/>
      <c r="W2" s="27"/>
    </row>
    <row r="3" spans="1:23" ht="16.2" thickBot="1" x14ac:dyDescent="0.4">
      <c r="A3" s="27"/>
      <c r="B3" s="91"/>
      <c r="C3" s="42" t="s">
        <v>45</v>
      </c>
      <c r="D3" s="43" t="s">
        <v>31</v>
      </c>
      <c r="E3" s="91"/>
      <c r="F3" s="91"/>
      <c r="G3" s="31" t="e" vm="4">
        <v>#VALUE!</v>
      </c>
      <c r="H3" s="26"/>
      <c r="I3" s="28"/>
      <c r="J3" s="29"/>
      <c r="K3" s="29"/>
      <c r="L3" s="30"/>
      <c r="M3" s="27"/>
      <c r="N3" s="28"/>
      <c r="O3" s="28"/>
      <c r="P3" s="29"/>
      <c r="Q3" s="30"/>
      <c r="R3" s="27"/>
      <c r="S3" s="33"/>
      <c r="T3" s="34"/>
      <c r="U3" s="34"/>
      <c r="V3" s="27"/>
      <c r="W3" s="27"/>
    </row>
    <row r="4" spans="1:23" ht="16.2" thickBot="1" x14ac:dyDescent="0.4">
      <c r="A4" s="27"/>
      <c r="B4" s="92"/>
      <c r="C4" s="40">
        <f ca="1">SUMIF(O:O, D4, M:M)</f>
        <v>0.48187627036202846</v>
      </c>
      <c r="D4" s="44" t="s">
        <v>25</v>
      </c>
      <c r="E4" s="93"/>
      <c r="F4" s="94"/>
      <c r="G4" s="31" t="e" vm="5">
        <v>#VALUE!</v>
      </c>
      <c r="H4" s="26"/>
      <c r="I4" s="27"/>
      <c r="J4" s="65" t="s">
        <v>7</v>
      </c>
      <c r="K4" s="65"/>
      <c r="L4" s="65" t="s">
        <v>26</v>
      </c>
      <c r="M4" s="65"/>
      <c r="O4" s="27"/>
      <c r="P4" s="7" t="s">
        <v>30</v>
      </c>
      <c r="Q4" s="7" t="s">
        <v>15</v>
      </c>
      <c r="R4" s="10" t="s">
        <v>20</v>
      </c>
      <c r="S4" s="10" t="s">
        <v>17</v>
      </c>
      <c r="T4" s="63" t="s">
        <v>16</v>
      </c>
      <c r="U4" s="64"/>
      <c r="V4" s="27"/>
      <c r="W4" s="27"/>
    </row>
    <row r="5" spans="1:23" ht="15.6" customHeight="1" x14ac:dyDescent="0.35">
      <c r="A5" s="27"/>
      <c r="B5" s="92"/>
      <c r="C5" s="40">
        <f ca="1">SUMIF(O:O, D5, M:M)</f>
        <v>1.4167035348944991E-4</v>
      </c>
      <c r="D5" s="44" t="s">
        <v>24</v>
      </c>
      <c r="E5" s="93"/>
      <c r="F5" s="94"/>
      <c r="G5" s="31" t="e" vm="6">
        <v>#VALUE!</v>
      </c>
      <c r="H5" s="26"/>
      <c r="I5" s="27"/>
      <c r="J5" s="72">
        <f ca="1">SUM(K10,K15,K20:K22,K27:K34,K39:K40)</f>
        <v>-102.82273302842518</v>
      </c>
      <c r="K5" s="66"/>
      <c r="L5" s="66">
        <f ca="1">T5+S5+Q5</f>
        <v>86317.277460069992</v>
      </c>
      <c r="M5" s="67"/>
      <c r="N5" s="27"/>
      <c r="O5" s="27"/>
      <c r="P5" s="11">
        <v>0</v>
      </c>
      <c r="Q5" s="11">
        <f ca="1">S2-(T5)-2700</f>
        <v>2228.9604703999939</v>
      </c>
      <c r="R5" s="70">
        <f ca="1">S5/T5</f>
        <v>0.15077488333263767</v>
      </c>
      <c r="S5" s="9">
        <f ca="1">SUM(I10:I10,I15:I15,I20:I22,I27:I34,I39:I40)</f>
        <v>11017.277460069996</v>
      </c>
      <c r="T5" s="61">
        <f ca="1">T6*M2</f>
        <v>73071.039529600006</v>
      </c>
      <c r="U5" s="62"/>
      <c r="V5" s="27"/>
      <c r="W5" s="27"/>
    </row>
    <row r="6" spans="1:23" ht="16.2" customHeight="1" thickBot="1" x14ac:dyDescent="0.4">
      <c r="A6" s="27"/>
      <c r="B6" s="92"/>
      <c r="C6" s="40">
        <f ca="1">SUMIF(O:O, D6, M:M)</f>
        <v>6.228842547335408E-2</v>
      </c>
      <c r="D6" s="44" t="s">
        <v>33</v>
      </c>
      <c r="E6" s="93"/>
      <c r="F6" s="94"/>
      <c r="G6" s="31" t="e" vm="7">
        <v>#VALUE!</v>
      </c>
      <c r="H6" s="26"/>
      <c r="I6" s="27"/>
      <c r="J6" s="73"/>
      <c r="K6" s="68"/>
      <c r="L6" s="68"/>
      <c r="M6" s="69"/>
      <c r="N6" s="29"/>
      <c r="O6" s="29"/>
      <c r="P6" s="39">
        <f ca="1">P5/M2</f>
        <v>0</v>
      </c>
      <c r="Q6" s="12">
        <f ca="1">Q5/M2</f>
        <v>690.65797118334024</v>
      </c>
      <c r="R6" s="71"/>
      <c r="S6" s="13">
        <f ca="1">S5/M2</f>
        <v>3413.7754345954809</v>
      </c>
      <c r="T6" s="59">
        <f ca="1" xml:space="preserve"> SUM(Q15*R15,Q20*R20,Q21*R21,Q22*R22,Q27*R27,Q28*R28,Q29*R29,Q30*R30,Q31*R31,Q32*R32,Q33*R33,Q34*R34,Q39*R39,Q40*R40)+(Q10*R10)/M2</f>
        <v>22641.539221516439</v>
      </c>
      <c r="U6" s="60"/>
      <c r="V6" s="27"/>
      <c r="W6" s="27"/>
    </row>
    <row r="7" spans="1:23" ht="16.2" thickBot="1" x14ac:dyDescent="0.4">
      <c r="A7" s="27"/>
      <c r="B7" s="92"/>
      <c r="C7" s="40">
        <f>SUMIF(O:O, D7, M:M)</f>
        <v>0</v>
      </c>
      <c r="D7" s="44" t="s">
        <v>35</v>
      </c>
      <c r="E7" s="93"/>
      <c r="F7" s="94"/>
      <c r="G7" s="31" t="e" vm="8">
        <v>#VALUE!</v>
      </c>
      <c r="H7" s="26"/>
      <c r="I7" s="27"/>
      <c r="J7" s="27"/>
      <c r="K7" s="27"/>
      <c r="L7" s="27"/>
      <c r="M7" s="28"/>
      <c r="N7" s="29"/>
      <c r="O7" s="29"/>
      <c r="P7" s="30"/>
      <c r="Q7" s="22"/>
      <c r="R7" s="23"/>
      <c r="S7" s="22"/>
      <c r="T7" s="24"/>
      <c r="U7" s="24"/>
      <c r="V7" s="27"/>
      <c r="W7" s="27"/>
    </row>
    <row r="8" spans="1:23" ht="15.6" x14ac:dyDescent="0.35">
      <c r="A8" s="27"/>
      <c r="B8" s="92"/>
      <c r="C8" s="40">
        <f>SUMIF(O:O, D8, M:M)</f>
        <v>0</v>
      </c>
      <c r="D8" s="44" t="s">
        <v>42</v>
      </c>
      <c r="E8" s="93"/>
      <c r="F8" s="94"/>
      <c r="G8" s="31" t="e" vm="9">
        <v>#VALUE!</v>
      </c>
      <c r="H8" s="53" t="s">
        <v>25</v>
      </c>
      <c r="I8" s="54"/>
      <c r="J8" s="54"/>
      <c r="K8" s="54"/>
      <c r="L8" s="54"/>
      <c r="M8" s="54"/>
      <c r="N8" s="54"/>
      <c r="O8" s="54"/>
      <c r="P8" s="54"/>
      <c r="Q8" s="54"/>
      <c r="R8" s="54"/>
      <c r="S8" s="54"/>
      <c r="T8" s="54"/>
      <c r="U8" s="55"/>
      <c r="V8" s="27"/>
      <c r="W8" s="27"/>
    </row>
    <row r="9" spans="1:23" ht="15.6" x14ac:dyDescent="0.35">
      <c r="A9" s="27"/>
      <c r="B9" s="92"/>
      <c r="C9" s="40">
        <f>SUMIF(O:O, D9, M:M)</f>
        <v>0</v>
      </c>
      <c r="D9" s="44" t="s">
        <v>36</v>
      </c>
      <c r="E9" s="93"/>
      <c r="F9" s="94"/>
      <c r="G9" s="31" t="e" vm="10">
        <v>#VALUE!</v>
      </c>
      <c r="H9" s="25" t="s">
        <v>28</v>
      </c>
      <c r="I9" s="1" t="s">
        <v>29</v>
      </c>
      <c r="J9" s="1" t="s">
        <v>27</v>
      </c>
      <c r="K9" s="1" t="s">
        <v>7</v>
      </c>
      <c r="L9" s="1" t="s">
        <v>6</v>
      </c>
      <c r="M9" s="1" t="s">
        <v>4</v>
      </c>
      <c r="N9" s="1" t="s">
        <v>21</v>
      </c>
      <c r="O9" s="1" t="s">
        <v>31</v>
      </c>
      <c r="P9" s="1" t="s">
        <v>3</v>
      </c>
      <c r="Q9" s="1" t="s">
        <v>2</v>
      </c>
      <c r="R9" s="1" t="s">
        <v>1</v>
      </c>
      <c r="S9" s="1" t="s">
        <v>0</v>
      </c>
      <c r="T9" s="1"/>
      <c r="U9" s="17" t="s">
        <v>5</v>
      </c>
      <c r="V9" s="27"/>
      <c r="W9" s="27"/>
    </row>
    <row r="10" spans="1:23" ht="15.6" x14ac:dyDescent="0.35">
      <c r="A10" s="27"/>
      <c r="B10" s="92"/>
      <c r="C10" s="40">
        <f ca="1">SUMIF(O:O, D10, M:M)</f>
        <v>2.2543541334631087E-2</v>
      </c>
      <c r="D10" s="44" t="s">
        <v>37</v>
      </c>
      <c r="E10" s="93"/>
      <c r="F10" s="94"/>
      <c r="G10" s="31" t="e" vm="11">
        <v>#VALUE!</v>
      </c>
      <c r="H10" s="16">
        <f ca="1">(L10-Q10)/Q10</f>
        <v>6.5318467123287635E-2</v>
      </c>
      <c r="I10" s="5">
        <f ca="1">(L10*R10-R10*Q10)</f>
        <v>2145.7116449999958</v>
      </c>
      <c r="J10" s="2" cm="1">
        <f t="array" aca="1" ref="J10" ca="1">_FV(T10,"Change (%)",TRUE)</f>
        <v>-3.8579999999999999E-3</v>
      </c>
      <c r="K10" s="5">
        <f ca="1">J10*P10</f>
        <v>-135.01345552640998</v>
      </c>
      <c r="L10" s="80" cm="1">
        <f t="array" aca="1" ref="L10" ca="1">_FV(T10,"Price")*M2</f>
        <v>2333.0474429999999</v>
      </c>
      <c r="M10" s="81">
        <f ca="1">Q10*R10/$T$5</f>
        <v>0.44956251083157162</v>
      </c>
      <c r="N10" s="74"/>
      <c r="O10" s="74" t="s">
        <v>25</v>
      </c>
      <c r="P10" s="49">
        <f ca="1">R10*L10</f>
        <v>34995.711644999996</v>
      </c>
      <c r="Q10" s="49">
        <v>2190</v>
      </c>
      <c r="R10" s="74">
        <v>15</v>
      </c>
      <c r="S10" s="75">
        <v>1159250</v>
      </c>
      <c r="T10" s="86" t="e" vm="12">
        <v>#VALUE!</v>
      </c>
      <c r="U10" s="17">
        <v>1</v>
      </c>
      <c r="V10" s="27"/>
      <c r="W10" s="27"/>
    </row>
    <row r="11" spans="1:23" ht="15.6" x14ac:dyDescent="0.35">
      <c r="A11" s="27"/>
      <c r="B11" s="92"/>
      <c r="C11" s="40">
        <f ca="1">SUMIF(O:O, D11, M:M)</f>
        <v>5.7765703446577277E-3</v>
      </c>
      <c r="D11" s="44" t="s">
        <v>44</v>
      </c>
      <c r="E11" s="93"/>
      <c r="F11" s="94"/>
      <c r="G11" s="31" t="e" vm="13">
        <v>#VALUE!</v>
      </c>
      <c r="H11" s="56"/>
      <c r="I11" s="56"/>
      <c r="J11" s="56"/>
      <c r="K11" s="56"/>
      <c r="L11" s="56"/>
      <c r="M11" s="56"/>
      <c r="N11" s="56"/>
      <c r="O11" s="56"/>
      <c r="P11" s="56"/>
      <c r="Q11" s="56"/>
      <c r="R11" s="56"/>
      <c r="S11" s="56"/>
      <c r="T11" s="56"/>
      <c r="U11" s="56"/>
      <c r="V11" s="27"/>
      <c r="W11" s="27"/>
    </row>
    <row r="12" spans="1:23" ht="16.2" thickBot="1" x14ac:dyDescent="0.4">
      <c r="A12" s="27"/>
      <c r="B12" s="92"/>
      <c r="C12" s="40">
        <f>SUMIF(O:O, D12, M:M)</f>
        <v>0</v>
      </c>
      <c r="D12" s="44" t="s">
        <v>40</v>
      </c>
      <c r="E12" s="93"/>
      <c r="F12" s="94"/>
      <c r="G12" s="31" t="e" vm="14">
        <v>#VALUE!</v>
      </c>
      <c r="H12" s="56"/>
      <c r="I12" s="56"/>
      <c r="J12" s="56"/>
      <c r="K12" s="56"/>
      <c r="L12" s="56"/>
      <c r="M12" s="56"/>
      <c r="N12" s="56"/>
      <c r="O12" s="56"/>
      <c r="P12" s="56"/>
      <c r="Q12" s="56"/>
      <c r="R12" s="56"/>
      <c r="S12" s="56"/>
      <c r="T12" s="56"/>
      <c r="U12" s="56"/>
      <c r="V12" s="27"/>
      <c r="W12" s="27"/>
    </row>
    <row r="13" spans="1:23" ht="15.6" x14ac:dyDescent="0.35">
      <c r="A13" s="27"/>
      <c r="B13" s="92"/>
      <c r="C13" s="40">
        <f>SUMIF(O:O, D13, M:M)</f>
        <v>0</v>
      </c>
      <c r="D13" s="44" t="s">
        <v>32</v>
      </c>
      <c r="E13" s="93"/>
      <c r="F13" s="94"/>
      <c r="H13" s="53" t="s">
        <v>24</v>
      </c>
      <c r="I13" s="54"/>
      <c r="J13" s="54"/>
      <c r="K13" s="54"/>
      <c r="L13" s="54"/>
      <c r="M13" s="54"/>
      <c r="N13" s="54"/>
      <c r="O13" s="54"/>
      <c r="P13" s="54"/>
      <c r="Q13" s="54"/>
      <c r="R13" s="54"/>
      <c r="S13" s="54"/>
      <c r="T13" s="54"/>
      <c r="U13" s="55"/>
      <c r="V13" s="27"/>
      <c r="W13" s="27"/>
    </row>
    <row r="14" spans="1:23" ht="15.6" x14ac:dyDescent="0.35">
      <c r="A14" s="27"/>
      <c r="B14" s="92"/>
      <c r="C14" s="40">
        <f ca="1">SUMIF(O:O, D14, M:M)</f>
        <v>3.4683234511442472E-2</v>
      </c>
      <c r="D14" s="44" t="s">
        <v>34</v>
      </c>
      <c r="E14" s="93"/>
      <c r="F14" s="94"/>
      <c r="G14" s="31"/>
      <c r="H14" s="25" t="s">
        <v>28</v>
      </c>
      <c r="I14" s="1" t="s">
        <v>29</v>
      </c>
      <c r="J14" s="1" t="s">
        <v>27</v>
      </c>
      <c r="K14" s="1" t="s">
        <v>7</v>
      </c>
      <c r="L14" s="1" t="s">
        <v>6</v>
      </c>
      <c r="M14" s="1" t="s">
        <v>4</v>
      </c>
      <c r="N14" s="1" t="s">
        <v>21</v>
      </c>
      <c r="O14" s="1" t="s">
        <v>31</v>
      </c>
      <c r="P14" s="1" t="s">
        <v>3</v>
      </c>
      <c r="Q14" s="1" t="s">
        <v>2</v>
      </c>
      <c r="R14" s="1" t="s">
        <v>1</v>
      </c>
      <c r="S14" s="1" t="s">
        <v>0</v>
      </c>
      <c r="T14" s="1"/>
      <c r="U14" s="17" t="s">
        <v>5</v>
      </c>
      <c r="V14" s="27"/>
      <c r="W14" s="27"/>
    </row>
    <row r="15" spans="1:23" ht="15.6" x14ac:dyDescent="0.35">
      <c r="A15" s="27"/>
      <c r="B15" s="27"/>
      <c r="C15" s="40">
        <f>SUMIF(O:O, D15, M:M)</f>
        <v>0</v>
      </c>
      <c r="D15" s="44" t="s">
        <v>43</v>
      </c>
      <c r="E15" s="27"/>
      <c r="F15" s="27"/>
      <c r="G15" s="31"/>
      <c r="H15" s="16">
        <f ca="1">(L15-Q15)/Q15</f>
        <v>0.16421947449768162</v>
      </c>
      <c r="I15" s="36">
        <f ca="1">(L15*R15-R15*Q15)</f>
        <v>1.6999999999999993</v>
      </c>
      <c r="J15" s="3" cm="1">
        <f t="array" aca="1" ref="J15" ca="1">_FV(T15,"Change (%)",TRUE)</f>
        <v>1.0735E-2</v>
      </c>
      <c r="K15" s="5">
        <f ca="1">J15*P15*$M$2</f>
        <v>0.41754232940599995</v>
      </c>
      <c r="L15" s="82" cm="1">
        <f t="array" aca="1" ref="L15" ca="1">_FV(T15,"Price")</f>
        <v>30.13</v>
      </c>
      <c r="M15" s="81">
        <f ca="1">Q15*R15/$T$5</f>
        <v>1.4167035348944991E-4</v>
      </c>
      <c r="N15" s="74"/>
      <c r="O15" s="74" t="s">
        <v>24</v>
      </c>
      <c r="P15" s="76">
        <f ca="1">L15*R15</f>
        <v>12.052</v>
      </c>
      <c r="Q15" s="76">
        <v>25.88</v>
      </c>
      <c r="R15" s="74">
        <v>0.4</v>
      </c>
      <c r="S15" s="75" t="s">
        <v>55</v>
      </c>
      <c r="T15" s="87" t="e" vm="15">
        <v>#VALUE!</v>
      </c>
      <c r="U15" s="17">
        <v>2</v>
      </c>
      <c r="V15" s="27"/>
      <c r="W15" s="27"/>
    </row>
    <row r="16" spans="1:23" ht="15.6" x14ac:dyDescent="0.35">
      <c r="A16" s="27"/>
      <c r="B16" s="27"/>
      <c r="C16" s="40">
        <f ca="1">SUMIF(O:O, D16, M:M)</f>
        <v>1.2809452363420123E-2</v>
      </c>
      <c r="D16" s="44" t="s">
        <v>38</v>
      </c>
      <c r="F16" s="27"/>
      <c r="G16" s="27"/>
      <c r="H16" s="56"/>
      <c r="I16" s="56"/>
      <c r="J16" s="56"/>
      <c r="K16" s="56"/>
      <c r="L16" s="56"/>
      <c r="M16" s="56"/>
      <c r="N16" s="56"/>
      <c r="O16" s="56"/>
      <c r="P16" s="56"/>
      <c r="Q16" s="56"/>
      <c r="R16" s="56"/>
      <c r="S16" s="56"/>
      <c r="T16" s="56"/>
      <c r="U16" s="56"/>
      <c r="V16" s="27"/>
      <c r="W16" s="27"/>
    </row>
    <row r="17" spans="1:23" ht="14.4" customHeight="1" thickBot="1" x14ac:dyDescent="0.4">
      <c r="A17" s="27"/>
      <c r="B17" s="27"/>
      <c r="C17" s="40">
        <f>SUMIF(O:O, D17, M:M)</f>
        <v>0</v>
      </c>
      <c r="D17" s="44" t="s">
        <v>39</v>
      </c>
      <c r="E17" s="27"/>
      <c r="F17" s="27"/>
      <c r="G17" s="27"/>
      <c r="H17" s="56"/>
      <c r="I17" s="56"/>
      <c r="J17" s="56"/>
      <c r="K17" s="56"/>
      <c r="L17" s="56"/>
      <c r="M17" s="56"/>
      <c r="N17" s="56"/>
      <c r="O17" s="56"/>
      <c r="P17" s="56"/>
      <c r="Q17" s="56"/>
      <c r="R17" s="56"/>
      <c r="S17" s="56"/>
      <c r="T17" s="56"/>
      <c r="U17" s="56"/>
      <c r="V17" s="27"/>
      <c r="W17" s="27"/>
    </row>
    <row r="18" spans="1:23" ht="16.2" customHeight="1" x14ac:dyDescent="0.35">
      <c r="A18" s="27"/>
      <c r="B18" s="27"/>
      <c r="C18" s="40">
        <f>SUMIF(O:O, D18, M:M)</f>
        <v>0</v>
      </c>
      <c r="D18" s="44" t="s">
        <v>41</v>
      </c>
      <c r="E18" s="27"/>
      <c r="F18" s="27"/>
      <c r="G18" s="27"/>
      <c r="H18" s="53" t="s">
        <v>23</v>
      </c>
      <c r="I18" s="54"/>
      <c r="J18" s="54"/>
      <c r="K18" s="54"/>
      <c r="L18" s="54"/>
      <c r="M18" s="54"/>
      <c r="N18" s="54"/>
      <c r="O18" s="54"/>
      <c r="P18" s="54"/>
      <c r="Q18" s="54"/>
      <c r="R18" s="54"/>
      <c r="S18" s="54"/>
      <c r="T18" s="54"/>
      <c r="U18" s="55"/>
      <c r="V18" s="27"/>
      <c r="W18" s="27"/>
    </row>
    <row r="19" spans="1:23" ht="15.6" customHeight="1" thickBot="1" x14ac:dyDescent="0.4">
      <c r="A19" s="27"/>
      <c r="B19" s="27"/>
      <c r="C19" s="41">
        <f ca="1">SUM(C4:C18)</f>
        <v>0.62011916474302342</v>
      </c>
      <c r="D19" s="45" t="s">
        <v>46</v>
      </c>
      <c r="E19" s="27"/>
      <c r="F19" s="27"/>
      <c r="G19" s="27"/>
      <c r="H19" s="25" t="s">
        <v>28</v>
      </c>
      <c r="I19" s="1" t="s">
        <v>29</v>
      </c>
      <c r="J19" s="1" t="s">
        <v>27</v>
      </c>
      <c r="K19" s="1" t="s">
        <v>7</v>
      </c>
      <c r="L19" s="1" t="s">
        <v>6</v>
      </c>
      <c r="M19" s="1" t="s">
        <v>4</v>
      </c>
      <c r="N19" s="1" t="s">
        <v>21</v>
      </c>
      <c r="O19" s="1" t="s">
        <v>31</v>
      </c>
      <c r="P19" s="1" t="s">
        <v>3</v>
      </c>
      <c r="Q19" s="1" t="s">
        <v>2</v>
      </c>
      <c r="R19" s="1" t="s">
        <v>1</v>
      </c>
      <c r="S19" s="1" t="s">
        <v>0</v>
      </c>
      <c r="T19" s="1"/>
      <c r="U19" s="17" t="s">
        <v>5</v>
      </c>
      <c r="V19" s="27"/>
      <c r="W19" s="27"/>
    </row>
    <row r="20" spans="1:23" ht="16.2" customHeight="1" x14ac:dyDescent="0.35">
      <c r="A20" s="27"/>
      <c r="B20" s="27"/>
      <c r="C20" s="27"/>
      <c r="D20" s="27"/>
      <c r="E20" s="27"/>
      <c r="F20" s="27"/>
      <c r="G20" s="27"/>
      <c r="H20" s="16">
        <f ca="1">(L20-Q20)/Q20</f>
        <v>0.47996799146439068</v>
      </c>
      <c r="I20" s="5">
        <f ca="1">(L20*R20*$M$2-Q20*R20*$M$2)</f>
        <v>2322.881448000001</v>
      </c>
      <c r="J20" s="2" cm="1">
        <f t="array" aca="1" ref="J20" ca="1">_FV(T20,"Change (%)",TRUE)</f>
        <v>-4.1279999999999997E-3</v>
      </c>
      <c r="K20" s="5">
        <f ca="1">J20*P20*$M$2</f>
        <v>-29.566967299584</v>
      </c>
      <c r="L20" s="82" cm="1">
        <f t="array" aca="1" ref="L20" ca="1">_FV(T20,"Price")</f>
        <v>277.42</v>
      </c>
      <c r="M20" s="81">
        <f ca="1">Q20*R20/$T$5</f>
        <v>2.0522494406180359E-2</v>
      </c>
      <c r="N20" s="74"/>
      <c r="O20" s="74" t="s">
        <v>34</v>
      </c>
      <c r="P20" s="76">
        <f ca="1">L20*R20</f>
        <v>2219.36</v>
      </c>
      <c r="Q20" s="76">
        <v>187.45</v>
      </c>
      <c r="R20" s="74">
        <v>8</v>
      </c>
      <c r="S20" s="75" t="s">
        <v>52</v>
      </c>
      <c r="T20" s="88" t="e" vm="16">
        <v>#VALUE!</v>
      </c>
      <c r="U20" s="17">
        <v>3</v>
      </c>
      <c r="V20" s="27"/>
      <c r="W20" s="27"/>
    </row>
    <row r="21" spans="1:23" ht="15.6" x14ac:dyDescent="0.35">
      <c r="A21" s="27"/>
      <c r="B21" s="27"/>
      <c r="C21" s="27"/>
      <c r="D21" s="27"/>
      <c r="E21" s="27"/>
      <c r="F21" s="27"/>
      <c r="G21" s="27"/>
      <c r="H21" s="16">
        <f ca="1">(L21-Q21)/Q21</f>
        <v>0.33660369990725814</v>
      </c>
      <c r="I21" s="5">
        <f t="shared" ref="I21:I22" ca="1" si="0">(L21*R21*$M$2-Q21*R21*$M$2)</f>
        <v>445.10921599999983</v>
      </c>
      <c r="J21" s="3" cm="1">
        <f t="array" aca="1" ref="J21" ca="1">_FV(T21,"Change (%)",TRUE)</f>
        <v>3.2240000000000003E-3</v>
      </c>
      <c r="K21" s="5">
        <f ca="1">J21*P21*$M$2</f>
        <v>5.6983010924319997</v>
      </c>
      <c r="L21" s="82" cm="1">
        <f t="array" aca="1" ref="L21" ca="1">_FV(T21,"Price")</f>
        <v>273.83</v>
      </c>
      <c r="M21" s="81">
        <f t="shared" ref="M21:M22" ca="1" si="1">Q21*R21/$T$5</f>
        <v>5.6074198839612833E-3</v>
      </c>
      <c r="N21" s="74"/>
      <c r="O21" s="74" t="s">
        <v>34</v>
      </c>
      <c r="P21" s="76">
        <f ca="1">L21*R21</f>
        <v>547.66</v>
      </c>
      <c r="Q21" s="76">
        <v>204.87</v>
      </c>
      <c r="R21" s="74">
        <v>2</v>
      </c>
      <c r="S21" s="75" t="s">
        <v>51</v>
      </c>
      <c r="T21" s="88" t="e" vm="17">
        <v>#VALUE!</v>
      </c>
      <c r="U21" s="17">
        <v>4</v>
      </c>
      <c r="V21" s="27"/>
      <c r="W21" s="27"/>
    </row>
    <row r="22" spans="1:23" ht="16.2" thickBot="1" x14ac:dyDescent="0.4">
      <c r="A22" s="27"/>
      <c r="B22" s="27"/>
      <c r="C22" s="27"/>
      <c r="D22" s="27"/>
      <c r="E22" s="27"/>
      <c r="F22" s="27"/>
      <c r="G22" s="27"/>
      <c r="H22" s="18">
        <f ca="1">(L22-Q22)/Q22</f>
        <v>0.70204547489034119</v>
      </c>
      <c r="I22" s="35">
        <f t="shared" ca="1" si="0"/>
        <v>2024.8209292000006</v>
      </c>
      <c r="J22" s="21" cm="1">
        <f t="array" aca="1" ref="J22" ca="1">_FV(T22,"Change (%)",TRUE)</f>
        <v>1.7528999999999999E-2</v>
      </c>
      <c r="K22" s="35">
        <f ca="1">J22*P22*$M$2</f>
        <v>86.049762718402803</v>
      </c>
      <c r="L22" s="83" cm="1">
        <f t="array" aca="1" ref="L22" ca="1">_FV(T22,"Price")</f>
        <v>190.13550000000001</v>
      </c>
      <c r="M22" s="84">
        <f t="shared" ca="1" si="1"/>
        <v>1.22302899445954E-2</v>
      </c>
      <c r="N22" s="78"/>
      <c r="O22" s="78" t="s">
        <v>33</v>
      </c>
      <c r="P22" s="77">
        <f ca="1">L22*R22</f>
        <v>1521.0840000000001</v>
      </c>
      <c r="Q22" s="77">
        <v>111.71</v>
      </c>
      <c r="R22" s="78">
        <v>8</v>
      </c>
      <c r="S22" s="79" t="s">
        <v>8</v>
      </c>
      <c r="T22" s="89" t="e" vm="18">
        <v>#VALUE!</v>
      </c>
      <c r="U22" s="20">
        <v>5</v>
      </c>
      <c r="V22" s="27"/>
      <c r="W22" s="27"/>
    </row>
    <row r="23" spans="1:23" x14ac:dyDescent="0.25">
      <c r="A23" s="27"/>
      <c r="B23" s="27"/>
      <c r="C23" s="27"/>
      <c r="D23" s="27"/>
      <c r="E23" s="27"/>
      <c r="F23" s="27"/>
      <c r="G23" s="27"/>
      <c r="H23" s="56"/>
      <c r="I23" s="56"/>
      <c r="J23" s="56"/>
      <c r="K23" s="56"/>
      <c r="L23" s="56"/>
      <c r="M23" s="56"/>
      <c r="N23" s="56"/>
      <c r="O23" s="56"/>
      <c r="P23" s="56"/>
      <c r="Q23" s="56"/>
      <c r="R23" s="56"/>
      <c r="S23" s="56"/>
      <c r="T23" s="56"/>
      <c r="U23" s="56"/>
      <c r="V23" s="27"/>
      <c r="W23" s="27"/>
    </row>
    <row r="24" spans="1:23" ht="14.4" thickBot="1" x14ac:dyDescent="0.3">
      <c r="A24" s="27"/>
      <c r="B24" s="27"/>
      <c r="C24" s="27"/>
      <c r="D24" s="27"/>
      <c r="E24" s="27"/>
      <c r="F24" s="27"/>
      <c r="G24" s="27"/>
      <c r="H24" s="56"/>
      <c r="I24" s="56"/>
      <c r="J24" s="56"/>
      <c r="K24" s="56"/>
      <c r="L24" s="56"/>
      <c r="M24" s="56"/>
      <c r="N24" s="56"/>
      <c r="O24" s="56"/>
      <c r="P24" s="56"/>
      <c r="Q24" s="56"/>
      <c r="R24" s="56"/>
      <c r="S24" s="56"/>
      <c r="T24" s="56"/>
      <c r="U24" s="56"/>
      <c r="V24" s="27"/>
      <c r="W24" s="27"/>
    </row>
    <row r="25" spans="1:23" ht="16.2" thickBot="1" x14ac:dyDescent="0.4">
      <c r="A25" s="27"/>
      <c r="B25" s="27"/>
      <c r="C25" s="27"/>
      <c r="D25" s="27"/>
      <c r="E25" s="27"/>
      <c r="F25" s="27"/>
      <c r="G25" s="27"/>
      <c r="H25" s="50" t="s">
        <v>22</v>
      </c>
      <c r="I25" s="51"/>
      <c r="J25" s="51"/>
      <c r="K25" s="51"/>
      <c r="L25" s="51"/>
      <c r="M25" s="51"/>
      <c r="N25" s="51"/>
      <c r="O25" s="51"/>
      <c r="P25" s="51"/>
      <c r="Q25" s="51"/>
      <c r="R25" s="51"/>
      <c r="S25" s="51"/>
      <c r="T25" s="51"/>
      <c r="U25" s="52"/>
      <c r="V25" s="27"/>
      <c r="W25" s="27"/>
    </row>
    <row r="26" spans="1:23" ht="15.6" x14ac:dyDescent="0.35">
      <c r="A26" s="27"/>
      <c r="B26" s="27"/>
      <c r="C26" s="27"/>
      <c r="D26" s="27"/>
      <c r="E26" s="27"/>
      <c r="F26" s="27"/>
      <c r="G26" s="27"/>
      <c r="H26" s="46" t="s">
        <v>28</v>
      </c>
      <c r="I26" s="47" t="s">
        <v>29</v>
      </c>
      <c r="J26" s="47" t="s">
        <v>27</v>
      </c>
      <c r="K26" s="47" t="s">
        <v>7</v>
      </c>
      <c r="L26" s="47" t="s">
        <v>6</v>
      </c>
      <c r="M26" s="47" t="s">
        <v>4</v>
      </c>
      <c r="N26" s="47" t="s">
        <v>21</v>
      </c>
      <c r="O26" s="47" t="s">
        <v>31</v>
      </c>
      <c r="P26" s="47" t="s">
        <v>3</v>
      </c>
      <c r="Q26" s="47" t="s">
        <v>2</v>
      </c>
      <c r="R26" s="47" t="s">
        <v>1</v>
      </c>
      <c r="S26" s="47" t="s">
        <v>0</v>
      </c>
      <c r="T26" s="47"/>
      <c r="U26" s="48" t="s">
        <v>5</v>
      </c>
      <c r="V26" s="27"/>
      <c r="W26" s="27"/>
    </row>
    <row r="27" spans="1:23" ht="15.6" x14ac:dyDescent="0.35">
      <c r="A27" s="27"/>
      <c r="B27" s="27"/>
      <c r="C27" s="27"/>
      <c r="D27" s="27"/>
      <c r="E27" s="27"/>
      <c r="F27" s="27"/>
      <c r="G27" s="27"/>
      <c r="H27" s="16">
        <f ca="1">(L27-Q27)/Q27</f>
        <v>0.14182568185668304</v>
      </c>
      <c r="I27" s="5">
        <f ca="1">(L27*R27*$M$2-Q27*R27*$M$2)</f>
        <v>1080.7543512399998</v>
      </c>
      <c r="J27" s="2" cm="1">
        <f t="array" aca="1" ref="J27" ca="1">_FV(T27,"Change (%)",TRUE)</f>
        <v>2.9459999999999998E-3</v>
      </c>
      <c r="K27" s="5">
        <f ca="1">J27*P27*$M$2</f>
        <v>25.633308357713037</v>
      </c>
      <c r="L27" s="82" cm="1">
        <f t="array" aca="1" ref="L27" ca="1">_FV(T27,"Price")</f>
        <v>674.01969999999994</v>
      </c>
      <c r="M27" s="81">
        <f ca="1">Q27*R27/$T$5</f>
        <v>3.2313759530456829E-2</v>
      </c>
      <c r="N27" s="74"/>
      <c r="O27" s="74" t="s">
        <v>25</v>
      </c>
      <c r="P27" s="76">
        <f ca="1">L27*R27</f>
        <v>2696.0787999999998</v>
      </c>
      <c r="Q27" s="76">
        <v>590.29999999999995</v>
      </c>
      <c r="R27" s="74">
        <v>4</v>
      </c>
      <c r="S27" s="75" t="s">
        <v>53</v>
      </c>
      <c r="T27" s="88" t="e" vm="19">
        <v>#VALUE!</v>
      </c>
      <c r="U27" s="17">
        <v>6</v>
      </c>
      <c r="V27" s="27"/>
      <c r="W27" s="27"/>
    </row>
    <row r="28" spans="1:23" ht="15.6" x14ac:dyDescent="0.35">
      <c r="A28" s="27"/>
      <c r="B28" s="27"/>
      <c r="C28" s="27"/>
      <c r="D28" s="27"/>
      <c r="E28" s="27"/>
      <c r="F28" s="27"/>
      <c r="G28" s="27"/>
      <c r="H28" s="16">
        <f ca="1">(L28-Q28)/Q28</f>
        <v>0.40791167580879883</v>
      </c>
      <c r="I28" s="5">
        <f t="shared" ref="I28:I34" ca="1" si="2">(L28*R28*$M$2-Q28*R28*$M$2)</f>
        <v>940.79022299999997</v>
      </c>
      <c r="J28" s="2" cm="1">
        <f t="array" aca="1" ref="J28" ca="1">_FV(T28,"Change (%)",TRUE)</f>
        <v>-1.3443E-2</v>
      </c>
      <c r="K28" s="5">
        <f ca="1">J28*P28*$M$2</f>
        <v>-43.651409152485002</v>
      </c>
      <c r="L28" s="82" cm="1">
        <f t="array" aca="1" ref="L28" ca="1">_FV(T28,"Price")</f>
        <v>1006.15</v>
      </c>
      <c r="M28" s="81">
        <f t="shared" ref="M28:M34" ca="1" si="3">Q28*R28/$T$5</f>
        <v>9.7800716207206793E-3</v>
      </c>
      <c r="N28" s="74"/>
      <c r="O28" s="74" t="s">
        <v>37</v>
      </c>
      <c r="P28" s="76">
        <f ca="1">L28*R28</f>
        <v>1006.15</v>
      </c>
      <c r="Q28" s="76">
        <v>714.64</v>
      </c>
      <c r="R28" s="74">
        <v>1</v>
      </c>
      <c r="S28" s="75" t="s">
        <v>54</v>
      </c>
      <c r="T28" s="88" t="e" vm="20">
        <v>#VALUE!</v>
      </c>
      <c r="U28" s="17">
        <v>7</v>
      </c>
      <c r="V28" s="27"/>
      <c r="W28" s="27"/>
    </row>
    <row r="29" spans="1:23" ht="15.6" x14ac:dyDescent="0.35">
      <c r="A29" s="27"/>
      <c r="B29" s="27"/>
      <c r="C29" s="27"/>
      <c r="D29" s="27"/>
      <c r="E29" s="27"/>
      <c r="F29" s="27"/>
      <c r="G29" s="27"/>
      <c r="H29" s="16">
        <f ca="1">(L29-Q29)/Q29</f>
        <v>0.77427777777777784</v>
      </c>
      <c r="I29" s="5">
        <f t="shared" ca="1" si="2"/>
        <v>499.26556910999989</v>
      </c>
      <c r="J29" s="2" cm="1">
        <f t="array" aca="1" ref="J29" ca="1">_FV(T29,"Change (%)",TRUE)</f>
        <v>4.3080000000000002E-3</v>
      </c>
      <c r="K29" s="5">
        <f ca="1">J29*P29*$M$2</f>
        <v>4.9286971100458805</v>
      </c>
      <c r="L29" s="85" cm="1">
        <f t="array" aca="1" ref="L29" ca="1">_FV(T29,"Price")</f>
        <v>3.1937000000000002</v>
      </c>
      <c r="M29" s="81">
        <f t="shared" ca="1" si="3"/>
        <v>2.7343254083454496E-3</v>
      </c>
      <c r="N29" s="74"/>
      <c r="O29" s="74" t="s">
        <v>37</v>
      </c>
      <c r="P29" s="76">
        <f ca="1">L29*R29</f>
        <v>354.50069999999999</v>
      </c>
      <c r="Q29" s="76">
        <v>1.8</v>
      </c>
      <c r="R29" s="74">
        <v>111</v>
      </c>
      <c r="S29" s="75" t="s">
        <v>56</v>
      </c>
      <c r="T29" s="88" t="e" vm="21">
        <v>#VALUE!</v>
      </c>
      <c r="U29" s="17">
        <v>8</v>
      </c>
      <c r="V29" s="27"/>
      <c r="W29" s="27"/>
    </row>
    <row r="30" spans="1:23" ht="15.6" x14ac:dyDescent="0.35">
      <c r="A30" s="27"/>
      <c r="B30" s="27"/>
      <c r="C30" s="27"/>
      <c r="D30" s="27"/>
      <c r="E30" s="27"/>
      <c r="F30" s="27"/>
      <c r="G30" s="27"/>
      <c r="H30" s="16">
        <f ca="1">(L30-Q30)/Q30</f>
        <v>0.88433476394849786</v>
      </c>
      <c r="I30" s="5">
        <f t="shared" ca="1" si="2"/>
        <v>1329.9703300000001</v>
      </c>
      <c r="J30" s="3" cm="1">
        <f t="array" aca="1" ref="J30" ca="1">_FV(T30,"Change (%)",TRUE)</f>
        <v>2.0215999999999998E-2</v>
      </c>
      <c r="K30" s="5">
        <f ca="1">J30*P30*$M$2</f>
        <v>57.289963300079997</v>
      </c>
      <c r="L30" s="82" cm="1">
        <f t="array" aca="1" ref="L30" ca="1">_FV(T30,"Price")</f>
        <v>175.62</v>
      </c>
      <c r="M30" s="81">
        <f t="shared" ca="1" si="3"/>
        <v>6.3773555570018989E-3</v>
      </c>
      <c r="N30" s="74"/>
      <c r="O30" s="74" t="s">
        <v>33</v>
      </c>
      <c r="P30" s="76">
        <f ca="1">L30*R30</f>
        <v>878.1</v>
      </c>
      <c r="Q30" s="76">
        <v>93.2</v>
      </c>
      <c r="R30" s="74">
        <v>5</v>
      </c>
      <c r="S30" s="75" t="s">
        <v>19</v>
      </c>
      <c r="T30" s="86" t="e" vm="10">
        <v>#VALUE!</v>
      </c>
      <c r="U30" s="17">
        <v>9</v>
      </c>
      <c r="V30" s="27"/>
      <c r="W30" s="27"/>
    </row>
    <row r="31" spans="1:23" ht="15.6" x14ac:dyDescent="0.35">
      <c r="A31" s="27"/>
      <c r="B31" s="27"/>
      <c r="C31" s="27"/>
      <c r="D31" s="27"/>
      <c r="E31" s="27"/>
      <c r="F31" s="27"/>
      <c r="G31" s="27"/>
      <c r="H31" s="16">
        <f ca="1">(L31-Q31)/Q31</f>
        <v>-0.29276127612761277</v>
      </c>
      <c r="I31" s="5">
        <f t="shared" ca="1" si="2"/>
        <v>-2576.5472280000013</v>
      </c>
      <c r="J31" s="3" cm="1">
        <f t="array" aca="1" ref="J31" ca="1">_FV(T31,"Change (%)",TRUE)</f>
        <v>6.8490000000000001E-4</v>
      </c>
      <c r="K31" s="5">
        <f ca="1">J31*P31*$M$2</f>
        <v>4.2630229823327994</v>
      </c>
      <c r="L31" s="82" cm="1">
        <f t="array" aca="1" ref="L31" ca="1">_FV(T31,"Price")</f>
        <v>160.72</v>
      </c>
      <c r="M31" s="81">
        <f t="shared" ca="1" si="3"/>
        <v>3.731984678957978E-2</v>
      </c>
      <c r="N31" s="74"/>
      <c r="O31" s="74" t="s">
        <v>33</v>
      </c>
      <c r="P31" s="76">
        <f ca="1">L31*R31</f>
        <v>1928.6399999999999</v>
      </c>
      <c r="Q31" s="76">
        <v>227.25</v>
      </c>
      <c r="R31" s="74">
        <v>12</v>
      </c>
      <c r="S31" s="75" t="s">
        <v>48</v>
      </c>
      <c r="T31" s="86" t="e" vm="22">
        <v>#VALUE!</v>
      </c>
      <c r="U31" s="17">
        <v>10</v>
      </c>
      <c r="V31" s="27"/>
      <c r="W31" s="27"/>
    </row>
    <row r="32" spans="1:23" ht="15.6" x14ac:dyDescent="0.35">
      <c r="A32" s="27"/>
      <c r="B32" s="27"/>
      <c r="C32" s="27"/>
      <c r="D32" s="27"/>
      <c r="E32" s="27"/>
      <c r="F32" s="27"/>
      <c r="G32" s="27"/>
      <c r="H32" s="16">
        <f ca="1">(L32-Q32)/Q32</f>
        <v>-1.9799999999999953E-2</v>
      </c>
      <c r="I32" s="5">
        <f t="shared" ca="1" si="2"/>
        <v>-39.937837499999887</v>
      </c>
      <c r="J32" s="3" cm="1">
        <f t="array" aca="1" ref="J32" ca="1">_FV(T32,"Change (%)",TRUE)</f>
        <v>1.1016E-2</v>
      </c>
      <c r="K32" s="5">
        <f ca="1">J32*P32*$M$2</f>
        <v>21.780005282099999</v>
      </c>
      <c r="L32" s="82" cm="1">
        <f t="array" aca="1" ref="L32" ca="1">_FV(T32,"Price")</f>
        <v>122.52500000000001</v>
      </c>
      <c r="M32" s="81">
        <f t="shared" ca="1" si="3"/>
        <v>8.5533202213008298E-3</v>
      </c>
      <c r="N32" s="74"/>
      <c r="O32" s="74" t="s">
        <v>34</v>
      </c>
      <c r="P32" s="76">
        <f ca="1">L32*R32</f>
        <v>612.625</v>
      </c>
      <c r="Q32" s="76">
        <v>125</v>
      </c>
      <c r="R32" s="74">
        <v>5</v>
      </c>
      <c r="S32" s="75" t="s">
        <v>18</v>
      </c>
      <c r="T32" s="86" t="e" vm="6">
        <v>#VALUE!</v>
      </c>
      <c r="U32" s="17">
        <v>11</v>
      </c>
      <c r="V32" s="27"/>
      <c r="W32" s="27"/>
    </row>
    <row r="33" spans="1:23" ht="15.6" x14ac:dyDescent="0.35">
      <c r="A33" s="27"/>
      <c r="B33" s="27"/>
      <c r="C33" s="27"/>
      <c r="D33" s="27"/>
      <c r="E33" s="27"/>
      <c r="F33" s="27"/>
      <c r="G33" s="27"/>
      <c r="H33" s="16">
        <f ca="1">(L33-Q33)/Q33</f>
        <v>1.0373342066481088</v>
      </c>
      <c r="I33" s="5">
        <f t="shared" ca="1" si="2"/>
        <v>2453.3934600000002</v>
      </c>
      <c r="J33" s="3" cm="1">
        <f t="array" aca="1" ref="J33" ca="1">_FV(T33,"Change (%)",TRUE)</f>
        <v>3.5490000000000001E-3</v>
      </c>
      <c r="K33" s="5">
        <f ca="1">J33*P33*$M$2</f>
        <v>17.100813883608001</v>
      </c>
      <c r="L33" s="82" cm="1">
        <f t="array" aca="1" ref="L33" ca="1">_FV(T33,"Price")</f>
        <v>248.84</v>
      </c>
      <c r="M33" s="81">
        <f t="shared" ca="1" si="3"/>
        <v>1.0029144305564961E-2</v>
      </c>
      <c r="N33" s="74"/>
      <c r="O33" s="74" t="s">
        <v>37</v>
      </c>
      <c r="P33" s="76">
        <f ca="1">L33*R33</f>
        <v>1493.04</v>
      </c>
      <c r="Q33" s="76">
        <v>122.14</v>
      </c>
      <c r="R33" s="74">
        <v>6</v>
      </c>
      <c r="S33" s="75" t="s">
        <v>9</v>
      </c>
      <c r="T33" s="86" t="e" vm="9">
        <v>#VALUE!</v>
      </c>
      <c r="U33" s="17">
        <v>12</v>
      </c>
      <c r="V33" s="27"/>
      <c r="W33" s="27"/>
    </row>
    <row r="34" spans="1:23" ht="16.2" thickBot="1" x14ac:dyDescent="0.4">
      <c r="A34" s="27"/>
      <c r="B34" s="27"/>
      <c r="C34" s="27"/>
      <c r="D34" s="27"/>
      <c r="E34" s="27"/>
      <c r="F34" s="27"/>
      <c r="G34" s="27"/>
      <c r="H34" s="18">
        <f ca="1">(L34-Q34)/Q34</f>
        <v>0.1386695095948827</v>
      </c>
      <c r="I34" s="35">
        <f t="shared" ca="1" si="2"/>
        <v>188.90161451999984</v>
      </c>
      <c r="J34" s="19" cm="1">
        <f t="array" aca="1" ref="J34" ca="1">_FV(T34,"Change (%)",TRUE)</f>
        <v>-1.9758000000000001E-2</v>
      </c>
      <c r="K34" s="35">
        <f ca="1">J34*P34*$M$2</f>
        <v>-30.647521813826163</v>
      </c>
      <c r="L34" s="83" cm="1">
        <f t="array" aca="1" ref="L34" ca="1">_FV(T34,"Price")</f>
        <v>26.701799999999999</v>
      </c>
      <c r="M34" s="84">
        <f t="shared" ca="1" si="3"/>
        <v>5.7765703446577277E-3</v>
      </c>
      <c r="N34" s="78"/>
      <c r="O34" s="78" t="s">
        <v>44</v>
      </c>
      <c r="P34" s="77">
        <f ca="1">L34*R34</f>
        <v>480.63239999999996</v>
      </c>
      <c r="Q34" s="77">
        <v>23.45</v>
      </c>
      <c r="R34" s="78">
        <v>18</v>
      </c>
      <c r="S34" s="79" t="s">
        <v>49</v>
      </c>
      <c r="T34" s="90" t="e" vm="23">
        <v>#VALUE!</v>
      </c>
      <c r="U34" s="20">
        <v>13</v>
      </c>
      <c r="V34" s="27"/>
      <c r="W34" s="27"/>
    </row>
    <row r="35" spans="1:23" x14ac:dyDescent="0.25">
      <c r="A35" s="27"/>
      <c r="B35" s="27"/>
      <c r="C35" s="27"/>
      <c r="D35" s="27"/>
      <c r="E35" s="27"/>
      <c r="F35" s="27"/>
      <c r="G35" s="27"/>
      <c r="H35" s="56"/>
      <c r="I35" s="56"/>
      <c r="J35" s="56"/>
      <c r="K35" s="56"/>
      <c r="L35" s="56"/>
      <c r="M35" s="56"/>
      <c r="N35" s="56"/>
      <c r="O35" s="56"/>
      <c r="P35" s="56"/>
      <c r="Q35" s="56"/>
      <c r="R35" s="56"/>
      <c r="S35" s="56"/>
      <c r="T35" s="56"/>
      <c r="U35" s="56"/>
      <c r="V35" s="27"/>
      <c r="W35" s="27"/>
    </row>
    <row r="36" spans="1:23" ht="15.6" customHeight="1" thickBot="1" x14ac:dyDescent="0.3">
      <c r="A36" s="27"/>
      <c r="B36" s="27"/>
      <c r="C36" s="27"/>
      <c r="D36" s="27"/>
      <c r="E36" s="27"/>
      <c r="F36" s="27"/>
      <c r="G36" s="27"/>
      <c r="H36" s="56"/>
      <c r="I36" s="56"/>
      <c r="J36" s="56"/>
      <c r="K36" s="56"/>
      <c r="L36" s="56"/>
      <c r="M36" s="56"/>
      <c r="N36" s="56"/>
      <c r="O36" s="56"/>
      <c r="P36" s="56"/>
      <c r="Q36" s="56"/>
      <c r="R36" s="56"/>
      <c r="S36" s="56"/>
      <c r="T36" s="56"/>
      <c r="U36" s="56"/>
      <c r="V36" s="27"/>
      <c r="W36" s="27"/>
    </row>
    <row r="37" spans="1:23" ht="15.6" x14ac:dyDescent="0.35">
      <c r="A37" s="27"/>
      <c r="B37" s="27"/>
      <c r="C37" s="27"/>
      <c r="D37" s="27"/>
      <c r="E37" s="27"/>
      <c r="F37" s="27"/>
      <c r="G37" s="27"/>
      <c r="H37" s="53" t="s">
        <v>10</v>
      </c>
      <c r="I37" s="54"/>
      <c r="J37" s="54"/>
      <c r="K37" s="54"/>
      <c r="L37" s="54"/>
      <c r="M37" s="54"/>
      <c r="N37" s="54"/>
      <c r="O37" s="54"/>
      <c r="P37" s="54"/>
      <c r="Q37" s="54"/>
      <c r="R37" s="54"/>
      <c r="S37" s="54"/>
      <c r="T37" s="54"/>
      <c r="U37" s="55"/>
      <c r="V37" s="27"/>
      <c r="W37" s="27"/>
    </row>
    <row r="38" spans="1:23" ht="15.6" x14ac:dyDescent="0.35">
      <c r="A38" s="27"/>
      <c r="B38" s="27"/>
      <c r="C38" s="27"/>
      <c r="D38" s="27"/>
      <c r="E38" s="27"/>
      <c r="F38" s="27"/>
      <c r="G38" s="27"/>
      <c r="H38" s="25" t="s">
        <v>28</v>
      </c>
      <c r="I38" s="1" t="s">
        <v>29</v>
      </c>
      <c r="J38" s="1" t="s">
        <v>27</v>
      </c>
      <c r="K38" s="1" t="s">
        <v>7</v>
      </c>
      <c r="L38" s="1" t="s">
        <v>6</v>
      </c>
      <c r="M38" s="1" t="s">
        <v>4</v>
      </c>
      <c r="N38" s="1" t="s">
        <v>21</v>
      </c>
      <c r="O38" s="1" t="s">
        <v>31</v>
      </c>
      <c r="P38" s="1" t="s">
        <v>3</v>
      </c>
      <c r="Q38" s="1" t="s">
        <v>2</v>
      </c>
      <c r="R38" s="1" t="s">
        <v>1</v>
      </c>
      <c r="S38" s="1" t="s">
        <v>0</v>
      </c>
      <c r="T38" s="1"/>
      <c r="U38" s="17" t="s">
        <v>5</v>
      </c>
      <c r="V38" s="27"/>
      <c r="W38" s="27"/>
    </row>
    <row r="39" spans="1:23" ht="15.6" x14ac:dyDescent="0.35">
      <c r="A39" s="27"/>
      <c r="B39" s="27"/>
      <c r="C39" s="27"/>
      <c r="D39" s="27"/>
      <c r="E39" s="27"/>
      <c r="F39" s="27"/>
      <c r="G39" s="27"/>
      <c r="H39" s="16">
        <f ca="1">(L39-Q39)/Q39</f>
        <v>3.551282051282046E-2</v>
      </c>
      <c r="I39" s="36">
        <f ca="1">(L39*R39*$M$2-Q39*R39*$M$2)</f>
        <v>107.27545199999986</v>
      </c>
      <c r="J39" s="3" cm="1">
        <f t="array" aca="1" ref="J39" ca="1">_FV(T39,"Change (%)",TRUE)</f>
        <v>-2.8389000000000001E-2</v>
      </c>
      <c r="K39" s="5">
        <f ca="1">J39*P39*$M$2</f>
        <v>-88.801594046028015</v>
      </c>
      <c r="L39" s="82" cm="1">
        <f t="array" aca="1" ref="L39" ca="1">_FV(T39,"Price")</f>
        <v>323.08</v>
      </c>
      <c r="M39" s="81">
        <f ca="1">Q39*R39/$T$5</f>
        <v>1.2809452363420123E-2</v>
      </c>
      <c r="N39" s="74"/>
      <c r="O39" s="74" t="s">
        <v>38</v>
      </c>
      <c r="P39" s="76">
        <f ca="1">L39*R39</f>
        <v>969.24</v>
      </c>
      <c r="Q39" s="76">
        <v>312</v>
      </c>
      <c r="R39" s="74">
        <v>3</v>
      </c>
      <c r="S39" s="75" t="s">
        <v>50</v>
      </c>
      <c r="T39" s="86" t="e" vm="24">
        <v>#VALUE!</v>
      </c>
      <c r="U39" s="17">
        <v>14</v>
      </c>
      <c r="V39" s="27"/>
      <c r="W39" s="27"/>
    </row>
    <row r="40" spans="1:23" ht="16.2" thickBot="1" x14ac:dyDescent="0.4">
      <c r="A40" s="27"/>
      <c r="B40" s="27"/>
      <c r="C40" s="27"/>
      <c r="D40" s="27"/>
      <c r="E40" s="27"/>
      <c r="F40" s="27"/>
      <c r="G40" s="27"/>
      <c r="H40" s="18">
        <f ca="1">(L40-Q40)/Q40</f>
        <v>6.21234939759037E-2</v>
      </c>
      <c r="I40" s="37">
        <f ca="1">(L40*R40*$M$2-Q40*R40*$M$2)</f>
        <v>93.188287500000115</v>
      </c>
      <c r="J40" s="19" cm="1">
        <f t="array" aca="1" ref="J40" ca="1">_FV(T40,"Change (%)",TRUE)</f>
        <v>1.065E-3</v>
      </c>
      <c r="K40" s="35">
        <f ca="1">J40*P40*$M$2</f>
        <v>1.6967977537875001</v>
      </c>
      <c r="L40" s="83" cm="1">
        <f t="array" aca="1" ref="L40" ca="1">_FV(T40,"Price")</f>
        <v>14.105</v>
      </c>
      <c r="M40" s="84">
        <f ca="1">Q40*R40/$T$5</f>
        <v>6.3609331821770001E-3</v>
      </c>
      <c r="N40" s="78"/>
      <c r="O40" s="78" t="s">
        <v>33</v>
      </c>
      <c r="P40" s="77">
        <f ca="1">L40*R40</f>
        <v>493.67500000000001</v>
      </c>
      <c r="Q40" s="77">
        <v>13.28</v>
      </c>
      <c r="R40" s="78">
        <v>35</v>
      </c>
      <c r="S40" s="79" t="s">
        <v>47</v>
      </c>
      <c r="T40" s="90" t="e" vm="25">
        <v>#VALUE!</v>
      </c>
      <c r="U40" s="20">
        <v>15</v>
      </c>
      <c r="V40" s="27"/>
      <c r="W40" s="27"/>
    </row>
    <row r="41" spans="1:23" ht="15.6" customHeight="1" x14ac:dyDescent="0.25">
      <c r="A41" s="27"/>
      <c r="B41" s="27"/>
      <c r="C41" s="27"/>
      <c r="D41" s="27"/>
      <c r="E41" s="27"/>
      <c r="F41" s="27"/>
      <c r="G41" s="27"/>
      <c r="H41" s="56"/>
      <c r="I41" s="56"/>
      <c r="J41" s="56"/>
      <c r="K41" s="56"/>
      <c r="L41" s="56"/>
      <c r="M41" s="56"/>
      <c r="N41" s="56"/>
      <c r="O41" s="56"/>
      <c r="P41" s="56"/>
      <c r="Q41" s="56"/>
      <c r="R41" s="56"/>
      <c r="S41" s="56"/>
      <c r="T41" s="56"/>
      <c r="U41" s="56"/>
      <c r="V41" s="27"/>
      <c r="W41" s="27"/>
    </row>
    <row r="42" spans="1:23" ht="15.6" customHeight="1" x14ac:dyDescent="0.25">
      <c r="A42" s="27"/>
      <c r="B42" s="27"/>
      <c r="C42" s="27"/>
      <c r="D42" s="27"/>
      <c r="E42" s="27"/>
      <c r="F42" s="27"/>
      <c r="G42" s="27"/>
      <c r="H42" s="56"/>
      <c r="I42" s="56"/>
      <c r="J42" s="56"/>
      <c r="K42" s="56"/>
      <c r="L42" s="56"/>
      <c r="M42" s="56"/>
      <c r="N42" s="56"/>
      <c r="O42" s="56"/>
      <c r="P42" s="56"/>
      <c r="Q42" s="56"/>
      <c r="R42" s="56"/>
      <c r="S42" s="56"/>
      <c r="T42" s="56"/>
      <c r="U42" s="56"/>
      <c r="V42" s="27"/>
      <c r="W42" s="27"/>
    </row>
    <row r="43" spans="1:23" x14ac:dyDescent="0.25">
      <c r="A43" s="27"/>
      <c r="B43" s="27"/>
      <c r="C43" s="27"/>
      <c r="D43" s="27"/>
      <c r="E43" s="27"/>
      <c r="F43" s="27"/>
      <c r="G43" s="27"/>
      <c r="H43" s="26"/>
      <c r="I43" s="27"/>
      <c r="J43" s="27"/>
      <c r="K43" s="27"/>
      <c r="L43" s="27"/>
      <c r="M43" s="27"/>
      <c r="N43" s="27"/>
      <c r="O43" s="27"/>
      <c r="P43" s="27"/>
      <c r="Q43" s="27"/>
      <c r="R43" s="27"/>
      <c r="S43" s="27"/>
      <c r="T43" s="27"/>
      <c r="U43" s="27"/>
      <c r="V43" s="27"/>
      <c r="W43" s="27"/>
    </row>
    <row r="45" spans="1:23" x14ac:dyDescent="0.25">
      <c r="J45" s="38"/>
    </row>
  </sheetData>
  <mergeCells count="22">
    <mergeCell ref="L1:M1"/>
    <mergeCell ref="T6:U6"/>
    <mergeCell ref="H16:U17"/>
    <mergeCell ref="H11:U12"/>
    <mergeCell ref="H13:U13"/>
    <mergeCell ref="H8:U8"/>
    <mergeCell ref="S1:U1"/>
    <mergeCell ref="T2:U2"/>
    <mergeCell ref="T5:U5"/>
    <mergeCell ref="T4:U4"/>
    <mergeCell ref="P1:Q1"/>
    <mergeCell ref="L4:M4"/>
    <mergeCell ref="L5:M6"/>
    <mergeCell ref="R5:R6"/>
    <mergeCell ref="J5:K6"/>
    <mergeCell ref="J4:K4"/>
    <mergeCell ref="H37:U37"/>
    <mergeCell ref="H25:U25"/>
    <mergeCell ref="H18:U18"/>
    <mergeCell ref="H23:U24"/>
    <mergeCell ref="H35:U36"/>
    <mergeCell ref="H41:U42"/>
  </mergeCells>
  <conditionalFormatting sqref="B4:B14">
    <cfRule type="cellIs" dxfId="5" priority="1" operator="equal">
      <formula>"BUY"</formula>
    </cfRule>
    <cfRule type="cellIs" dxfId="4" priority="2" operator="equal">
      <formula>"HOLD"</formula>
    </cfRule>
  </conditionalFormatting>
  <conditionalFormatting sqref="H10:K10 H15:K15 H20:K22 H27:K34 H39:K40">
    <cfRule type="cellIs" dxfId="3" priority="13" operator="lessThan">
      <formula>0</formula>
    </cfRule>
    <cfRule type="cellIs" dxfId="2" priority="14" operator="greaterThan">
      <formula>0</formula>
    </cfRule>
  </conditionalFormatting>
  <conditionalFormatting sqref="R5:S5 S6 R7:S7">
    <cfRule type="cellIs" dxfId="1" priority="3" operator="lessThan">
      <formula>0</formula>
    </cfRule>
    <cfRule type="cellIs" dxfId="0" priority="4" operator="greaterThan">
      <formula>0</formula>
    </cfRule>
  </conditionalFormatting>
  <dataValidations disablePrompts="1" count="1">
    <dataValidation type="list" allowBlank="1" showInputMessage="1" showErrorMessage="1" sqref="O10 O39:O40 O27:O34 O15 O20:O22" xr:uid="{391B6171-5935-44BC-B1CE-0C32ACF55622}">
      <formula1>"נשק,שבבים,פיננסים,קריפטו,מדדים,תרופות,בריאות,טכנולוגיה,טכנולוגיות קוונטיות,דיבידנדים,קמעונאות,שירותי תקשורת,חומרה,תשתיות מידע,תחבורה"</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Lior Hadad</dc:creator>
  <cp:lastModifiedBy>Lior Tsafrir</cp:lastModifiedBy>
  <dcterms:created xsi:type="dcterms:W3CDTF">2025-08-01T19:22:09Z</dcterms:created>
  <dcterms:modified xsi:type="dcterms:W3CDTF">2025-11-14T20:12:36Z</dcterms:modified>
</cp:coreProperties>
</file>